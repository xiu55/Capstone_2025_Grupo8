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l.KLAXMVN\Downloads\Documentos\Fase Inicio\"/>
    </mc:Choice>
  </mc:AlternateContent>
  <xr:revisionPtr revIDLastSave="0" documentId="13_ncr:1_{F444F594-B9C0-4E8A-9D23-025710A68FB9}" xr6:coauthVersionLast="47" xr6:coauthVersionMax="47" xr10:uidLastSave="{00000000-0000-0000-0000-000000000000}"/>
  <bookViews>
    <workbookView xWindow="28680" yWindow="-120" windowWidth="29040" windowHeight="15720" tabRatio="612" xr2:uid="{00000000-000D-0000-FFFF-FFFF00000000}"/>
  </bookViews>
  <sheets>
    <sheet name="Referencias de Riesgos" sheetId="7" r:id="rId1"/>
    <sheet name="Riesgos" sheetId="4" r:id="rId2"/>
  </sheets>
  <definedNames>
    <definedName name="_xlnm._FilterDatabase" localSheetId="1" hidden="1">Riesgos!$L$7:$L$108</definedName>
    <definedName name="_xlnm.Print_Area" localSheetId="1">Riesgos!$A$6:$N$14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3" i="4" l="1"/>
  <c r="L23" i="4" s="1"/>
  <c r="K24" i="4"/>
  <c r="L24" i="4" s="1"/>
  <c r="K25" i="4"/>
  <c r="L25" i="4" s="1"/>
  <c r="K26" i="4"/>
  <c r="L26" i="4"/>
  <c r="K27" i="4"/>
  <c r="L27" i="4" s="1"/>
  <c r="K28" i="4"/>
  <c r="L28" i="4"/>
  <c r="K29" i="4"/>
  <c r="L29" i="4" s="1"/>
  <c r="K30" i="4"/>
  <c r="L30" i="4" s="1"/>
  <c r="K31" i="4"/>
  <c r="L31" i="4"/>
  <c r="K32" i="4"/>
  <c r="L32" i="4"/>
  <c r="K33" i="4"/>
  <c r="L33" i="4"/>
  <c r="K34" i="4"/>
  <c r="L34" i="4" s="1"/>
  <c r="K35" i="4"/>
  <c r="L35" i="4"/>
  <c r="K36" i="4"/>
  <c r="L36" i="4" s="1"/>
  <c r="K37" i="4"/>
  <c r="L37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L16" i="4"/>
  <c r="L18" i="4"/>
  <c r="K12" i="4"/>
  <c r="K13" i="4"/>
  <c r="L13" i="4" s="1"/>
  <c r="K14" i="4"/>
  <c r="K15" i="4"/>
  <c r="K16" i="4"/>
  <c r="K17" i="4"/>
  <c r="K18" i="4"/>
  <c r="K19" i="4"/>
  <c r="K20" i="4"/>
  <c r="K21" i="4"/>
  <c r="K22" i="4"/>
  <c r="I12" i="4"/>
  <c r="L12" i="4" s="1"/>
  <c r="I13" i="4"/>
  <c r="I14" i="4"/>
  <c r="L14" i="4" s="1"/>
  <c r="I15" i="4"/>
  <c r="I16" i="4"/>
  <c r="I17" i="4"/>
  <c r="L17" i="4" s="1"/>
  <c r="I18" i="4"/>
  <c r="I19" i="4"/>
  <c r="L19" i="4" s="1"/>
  <c r="I20" i="4"/>
  <c r="I21" i="4"/>
  <c r="L21" i="4" s="1"/>
  <c r="I22" i="4"/>
  <c r="K9" i="4"/>
  <c r="K10" i="4"/>
  <c r="K11" i="4"/>
  <c r="I9" i="4"/>
  <c r="I10" i="4"/>
  <c r="I11" i="4"/>
  <c r="K8" i="4"/>
  <c r="I8" i="4"/>
  <c r="H24" i="7"/>
  <c r="G24" i="7"/>
  <c r="F24" i="7"/>
  <c r="H23" i="7"/>
  <c r="G23" i="7"/>
  <c r="F23" i="7"/>
  <c r="H22" i="7"/>
  <c r="G22" i="7"/>
  <c r="F22" i="7"/>
  <c r="L22" i="4" l="1"/>
  <c r="L20" i="4"/>
  <c r="L15" i="4"/>
  <c r="L10" i="4"/>
  <c r="L9" i="4"/>
  <c r="L11" i="4"/>
  <c r="L8" i="4"/>
</calcChain>
</file>

<file path=xl/sharedStrings.xml><?xml version="1.0" encoding="utf-8"?>
<sst xmlns="http://schemas.openxmlformats.org/spreadsheetml/2006/main" count="431" uniqueCount="260">
  <si>
    <t>Magnitud</t>
  </si>
  <si>
    <t>Impacto</t>
  </si>
  <si>
    <t>Alto</t>
  </si>
  <si>
    <t>Bajo</t>
  </si>
  <si>
    <t>Probabilidad</t>
  </si>
  <si>
    <t>Nivel de Probabilidad</t>
  </si>
  <si>
    <t>Valores Probabilidad</t>
  </si>
  <si>
    <t>Comentario</t>
  </si>
  <si>
    <t>Es casi seguro</t>
  </si>
  <si>
    <t>Es bastante probable</t>
  </si>
  <si>
    <t>Podría ocurrir</t>
  </si>
  <si>
    <t>Nivel Impacto</t>
  </si>
  <si>
    <t>Valores de Impacto</t>
  </si>
  <si>
    <t>Proyecto fracasa o atraso de más de 100%</t>
  </si>
  <si>
    <t>Atraso entre 20% y 50%</t>
  </si>
  <si>
    <t>Atraso menor a un 20%</t>
  </si>
  <si>
    <t>Valor de Probabilidad</t>
  </si>
  <si>
    <t>Valor Impacto</t>
  </si>
  <si>
    <t>Asignado a (Responsable)</t>
  </si>
  <si>
    <t>Medio</t>
  </si>
  <si>
    <t>Baja</t>
  </si>
  <si>
    <t>Media</t>
  </si>
  <si>
    <t>Alta</t>
  </si>
  <si>
    <t>Información General del Proyecto</t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</si>
  <si>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Nombre del Proyecto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</si>
  <si>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Fecha de Inicio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</si>
  <si>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Fecha de Fin 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</si>
  <si>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Cliente 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</si>
  <si>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Área: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</si>
  <si>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Sponsor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</si>
  <si>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ID Proyecto</t>
    </r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</si>
  <si>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Gerente de Proyecto</t>
    </r>
  </si>
  <si>
    <t>Riesgo/Evento de Riesgo</t>
  </si>
  <si>
    <t>Impacta a/ Consecuencias
Objetivos Proyecto</t>
  </si>
  <si>
    <t>Fecha 
Identificación</t>
  </si>
  <si>
    <t>Descripción y Comentarios</t>
  </si>
  <si>
    <t>Registro y Seguimiento de Riesgos</t>
  </si>
  <si>
    <t>REGISTRO DE RIESGOS</t>
  </si>
  <si>
    <t>Fuente/Causa/
Condición</t>
  </si>
  <si>
    <t>ID del Proyecto</t>
  </si>
  <si>
    <t>Director de Proyecto</t>
  </si>
  <si>
    <t>Nombre del Proyecto</t>
  </si>
  <si>
    <r>
      <rPr>
        <sz val="11"/>
        <color indexed="10"/>
        <rFont val="Calibri"/>
        <family val="2"/>
      </rPr>
      <t>*</t>
    </r>
    <r>
      <rPr>
        <sz val="10"/>
        <rFont val="Arial"/>
      </rPr>
      <t xml:space="preserve"> Director del Proyecto</t>
    </r>
  </si>
  <si>
    <t>REFERENCIAS del PLAN DE GESTIÓN DE RIESGOS</t>
  </si>
  <si>
    <t>Nro.</t>
  </si>
  <si>
    <t>Categoría (según RBS)</t>
  </si>
  <si>
    <t>Externo</t>
  </si>
  <si>
    <t>Estrategia</t>
  </si>
  <si>
    <t>Plan de Acción</t>
  </si>
  <si>
    <t>Costo Asociado</t>
  </si>
  <si>
    <t>Técnico</t>
  </si>
  <si>
    <t>Mitigar</t>
  </si>
  <si>
    <t>25/08/2025</t>
  </si>
  <si>
    <t>Retraso en configuración de infraestructura OCI/GCP</t>
  </si>
  <si>
    <t>Falta de experiencia en configuración de ATP y Compute</t>
  </si>
  <si>
    <t>Retraso en la entrega de Sprint 0 y Sprint 1</t>
  </si>
  <si>
    <t>La configuración inicial puede extenderse por problemas de red y permisos.</t>
  </si>
  <si>
    <t>26/08/2025</t>
  </si>
  <si>
    <t>Dataset insuficiente para entrenar Prophet</t>
  </si>
  <si>
    <t>Escasa data histórica en bares/pubs</t>
  </si>
  <si>
    <t>IA genera pronósticos poco confiables</t>
  </si>
  <si>
    <t>El modelo Prophet no entrega valor inicial.</t>
  </si>
  <si>
    <t>27/08/2025</t>
  </si>
  <si>
    <t>Falla en integración frontend–backend</t>
  </si>
  <si>
    <t>Errores en consumo de APIs Quarkus</t>
  </si>
  <si>
    <t>La app no muestra inventario en tiempo real</t>
  </si>
  <si>
    <t>Problemas al conectar Ionic con servicios REST.</t>
  </si>
  <si>
    <t>28/08/2025</t>
  </si>
  <si>
    <t>Problemas en despliegue en Vercel/Cloudflare</t>
  </si>
  <si>
    <t>Configuración inadecuada de DNS o límites de plan free</t>
  </si>
  <si>
    <t>La aplicación web no es accesible para pruebas</t>
  </si>
  <si>
    <t>Error en despliegue web interrumpe presentaciones.</t>
  </si>
  <si>
    <t>29/08/2025</t>
  </si>
  <si>
    <t>Pérdida de información en base de datos</t>
  </si>
  <si>
    <t>Fallos en almacenamiento OCI o errores humanos</t>
  </si>
  <si>
    <t>Pérdida de registros de inventario y ventas</t>
  </si>
  <si>
    <t>Una mala query puede eliminar datos críticos.</t>
  </si>
  <si>
    <t>30/08/2025</t>
  </si>
  <si>
    <t>Baja disponibilidad del equipo</t>
  </si>
  <si>
    <t>Organizacional</t>
  </si>
  <si>
    <t>Carga académica y laboral simultánea</t>
  </si>
  <si>
    <t>Retrasos en las entregas parciales</t>
  </si>
  <si>
    <t>Los devs no logran dedicar 15h/semana constantes.</t>
  </si>
  <si>
    <t>31/08/2025</t>
  </si>
  <si>
    <t>Rotación de miembros del equipo</t>
  </si>
  <si>
    <t>Integrantes con prioridades externas</t>
  </si>
  <si>
    <t>Pérdida de conocimiento y tiempo de traspaso</t>
  </si>
  <si>
    <t>Un dev se retira y afecta continuidad.</t>
  </si>
  <si>
    <t>01/09/2025</t>
  </si>
  <si>
    <t>Falta de comunicación interna</t>
  </si>
  <si>
    <t>Ausencia en dailys o mal uso de herramientas</t>
  </si>
  <si>
    <t>Descoordinación en tareas críticas</t>
  </si>
  <si>
    <t>El equipo pierde alineamiento de avances.</t>
  </si>
  <si>
    <t>02/09/2025</t>
  </si>
  <si>
    <t>Vulnerabilidades en login</t>
  </si>
  <si>
    <t>Seguridad</t>
  </si>
  <si>
    <t>Implementación incompleta de cifrado</t>
  </si>
  <si>
    <t>Riesgo de fuga de datos sensibles</t>
  </si>
  <si>
    <t>Ataques de fuerza bruta sobre RUT/password.</t>
  </si>
  <si>
    <t>03/09/2025</t>
  </si>
  <si>
    <t>Fallas en gestión de roles</t>
  </si>
  <si>
    <t>Middleware mal configurado</t>
  </si>
  <si>
    <t>Acceso indebido a datos de inventario</t>
  </si>
  <si>
    <t>Roles no limitan accesos reales.</t>
  </si>
  <si>
    <t>04/09/2025</t>
  </si>
  <si>
    <t>Problemas normativos con boleta/factura</t>
  </si>
  <si>
    <t>Cambios en SDK SII</t>
  </si>
  <si>
    <t>El MVP no cumple normativa legal</t>
  </si>
  <si>
    <t>Boletas no válidas bloquean demo.</t>
  </si>
  <si>
    <t>05/09/2025</t>
  </si>
  <si>
    <t>Baja adopción por clientes</t>
  </si>
  <si>
    <t>Resistencia al cambio tecnológico</t>
  </si>
  <si>
    <t>El sistema no se utiliza</t>
  </si>
  <si>
    <t>Clientes siguen con Excel/manual.</t>
  </si>
  <si>
    <t>06/09/2025</t>
  </si>
  <si>
    <t>Retrasos en entregas de proveedores</t>
  </si>
  <si>
    <t>Demoras en servicios externos (SII, OCI)</t>
  </si>
  <si>
    <t>No se cumplen fechas de entregas</t>
  </si>
  <si>
    <t>SDK o APIs fuera de servicio.</t>
  </si>
  <si>
    <t>07/09/2025</t>
  </si>
  <si>
    <t>Costos inesperados en Oracle Cloud</t>
  </si>
  <si>
    <t>Gestión</t>
  </si>
  <si>
    <t>Mal control de recursos OCPU</t>
  </si>
  <si>
    <t>Sobrecosto en la nube</t>
  </si>
  <si>
    <t>Servicios quedan encendidos fuera de horario.</t>
  </si>
  <si>
    <t>08/09/2025</t>
  </si>
  <si>
    <t>Retrasos por mala planificación</t>
  </si>
  <si>
    <t>Mala estimación de story points</t>
  </si>
  <si>
    <t>Sprint no cumple alcance</t>
  </si>
  <si>
    <t>Tasks mal dimensionadas.</t>
  </si>
  <si>
    <t>Scrum Master</t>
  </si>
  <si>
    <t>Product Owner</t>
  </si>
  <si>
    <t>Desarrollador</t>
  </si>
  <si>
    <t>Aceptar</t>
  </si>
  <si>
    <t>Evitar</t>
  </si>
  <si>
    <t>Delegar</t>
  </si>
  <si>
    <t>Contratar soporte OCI por 20h a CLP 25.000/hora</t>
  </si>
  <si>
    <t>CLP 500.000</t>
  </si>
  <si>
    <t>Comprar dataset retail (~CLP 300.000)</t>
  </si>
  <si>
    <t>CLP 300.000</t>
  </si>
  <si>
    <t>Implementar mocks y pruebas automáticas</t>
  </si>
  <si>
    <t>Contratar plan premium (~CLP 100.000/año)</t>
  </si>
  <si>
    <t>CLP 100.000</t>
  </si>
  <si>
    <t>Configurar backup automático diario (CLP 80.000/mes)</t>
  </si>
  <si>
    <t>CLP 80.000/mes</t>
  </si>
  <si>
    <t>Ajustar alcance con MoSCoW y buffer de 10h extra</t>
  </si>
  <si>
    <t>CLP 200.000</t>
  </si>
  <si>
    <t>Documentación y emparejamiento de roles</t>
  </si>
  <si>
    <t>CLP 0</t>
  </si>
  <si>
    <t>Dailys obligatorias y registro en Confluence</t>
  </si>
  <si>
    <t>Auditoría externa de seguridad y pentesting</t>
  </si>
  <si>
    <t>Revisión periódica de permisos + SonarQube</t>
  </si>
  <si>
    <t>Contratar SDK validado (licencia anual)</t>
  </si>
  <si>
    <t>CLP 600.000</t>
  </si>
  <si>
    <t>Capacitaciones + onboarding con manuales</t>
  </si>
  <si>
    <t>CLP 250.000</t>
  </si>
  <si>
    <t>Plan alternativo de pruebas offline</t>
  </si>
  <si>
    <t>Alertas de presupuesto y apagar recursos inactivos</t>
  </si>
  <si>
    <t>Reestimación y refinamiento semanal</t>
  </si>
  <si>
    <t>10/09/2025</t>
  </si>
  <si>
    <t>Demora en entrega de certificados digitales</t>
  </si>
  <si>
    <t>Trámites burocráticos con entidad certificadora</t>
  </si>
  <si>
    <t>Retraso en despliegue seguro del sistema</t>
  </si>
  <si>
    <t>Sin certificados válidos, no se puede implementar HTTPS ni firma digital.</t>
  </si>
  <si>
    <t>11/09/2025</t>
  </si>
  <si>
    <t>Sobrecarga en el servidor de pruebas</t>
  </si>
  <si>
    <t>Ejecución simultánea de pruebas de carga</t>
  </si>
  <si>
    <t>El sistema se cae durante validaciones críticas</t>
  </si>
  <si>
    <t>Pruebas de estrés exceden la capacidad de la VM estándar.</t>
  </si>
  <si>
    <t>12/09/2025</t>
  </si>
  <si>
    <t>Errores en migración de datos iniciales</t>
  </si>
  <si>
    <t>Formato inconsistente en archivos CSV de clientes</t>
  </si>
  <si>
    <t>Los datos cargados en el sistema quedan corruptos</t>
  </si>
  <si>
    <t>Al migrar inventarios desde planillas antiguas, algunos campos no coinciden.</t>
  </si>
  <si>
    <t>13/09/2025</t>
  </si>
  <si>
    <t>Dependencia excesiva de un integrante clave</t>
  </si>
  <si>
    <t>Un miembro concentra conocimiento de backend</t>
  </si>
  <si>
    <t>Bloqueo del proyecto si la persona falta</t>
  </si>
  <si>
    <t>Sergio lidera backend y sin traspaso, se pierde continuidad.</t>
  </si>
  <si>
    <t>14/09/2025</t>
  </si>
  <si>
    <t>Caída del servicio BigQuery en horario de clases</t>
  </si>
  <si>
    <t>Mantenimiento o falla temporal en GCP</t>
  </si>
  <si>
    <t>No se puede entrenar ni consultar modelos IA</t>
  </si>
  <si>
    <t>Dependencia directa de la nube puede dejar el sprint sin avances.</t>
  </si>
  <si>
    <t>15/09/2025</t>
  </si>
  <si>
    <t>Conflictos en control de versiones</t>
  </si>
  <si>
    <t>Falta de disciplina en uso de ramas Git</t>
  </si>
  <si>
    <t>Merge conflictivo retrasa entregas</t>
  </si>
  <si>
    <t>Pull requests sin revisión generan errores en main.</t>
  </si>
  <si>
    <t>16/09/2025</t>
  </si>
  <si>
    <t>Errores en configuración de CI/CD</t>
  </si>
  <si>
    <t>Pipelines mal definidos en Jenkins</t>
  </si>
  <si>
    <t>Builds fallidas que detienen pruebas</t>
  </si>
  <si>
    <t>Configuración inicial interrumpe despliegues continuos.</t>
  </si>
  <si>
    <t>17/09/2025</t>
  </si>
  <si>
    <t>Problemas de latencia entre OCI y GCP</t>
  </si>
  <si>
    <t>Mala conectividad entre nubes</t>
  </si>
  <si>
    <t>Consultas lentas afectan forecast IA</t>
  </si>
  <si>
    <t>La integración OCI ↔ GCP puede tener 200-300ms extra.</t>
  </si>
  <si>
    <t>18/09/2025</t>
  </si>
  <si>
    <t>Retraso en aprobación del profesor guía</t>
  </si>
  <si>
    <t>Docente no disponible a tiempo</t>
  </si>
  <si>
    <t>Bloqueo en validación de hitos</t>
  </si>
  <si>
    <t>Retroalimentación llega tarde y retrasa ajustes.</t>
  </si>
  <si>
    <t>19/09/2025</t>
  </si>
  <si>
    <t>Errores en modelado de roles de usuario</t>
  </si>
  <si>
    <t>Definición incompleta de permisos</t>
  </si>
  <si>
    <t>Usuarios acceden a funciones indebidas</t>
  </si>
  <si>
    <t>Roles admin y user no quedan correctamente separados.</t>
  </si>
  <si>
    <t>20/09/2025</t>
  </si>
  <si>
    <t>Incompatibilidad de librerías en Quarkus</t>
  </si>
  <si>
    <t>Dependencias obsoletas o incompatibles</t>
  </si>
  <si>
    <t>El backend no compila ni despliega</t>
  </si>
  <si>
    <t>Versión de Quarkus usada no soporta algunas extensiones.</t>
  </si>
  <si>
    <t>21/09/2025</t>
  </si>
  <si>
    <t>Bugs críticos en frontend Ionic</t>
  </si>
  <si>
    <t>Actualizaciones de Ionic o plugins</t>
  </si>
  <si>
    <t>El sistema se rompe en navegadores móviles</t>
  </si>
  <si>
    <t>Una actualización no planificada genera regresiones.</t>
  </si>
  <si>
    <t>22/09/2025</t>
  </si>
  <si>
    <t>Caída de SonarQube/Artifactory en sprint</t>
  </si>
  <si>
    <t>VM limitada o mala configuración</t>
  </si>
  <si>
    <t>No se pueden validar builds ni artefactos</t>
  </si>
  <si>
    <t>Dependencia en servicios auto-hosted provoca bloqueos.</t>
  </si>
  <si>
    <t>23/09/2025</t>
  </si>
  <si>
    <t>Retrasos por cambios en requisitos del cliente</t>
  </si>
  <si>
    <t>Cliente solicita nuevas funciones en mitad del sprint</t>
  </si>
  <si>
    <t>Se rompe el plan original</t>
  </si>
  <si>
    <t>Cambios inesperados impactan planificación.</t>
  </si>
  <si>
    <t>24/09/2025</t>
  </si>
  <si>
    <t>Errores en auditoría de datos</t>
  </si>
  <si>
    <t>Logs incompletos o mal generados</t>
  </si>
  <si>
    <t>No se cumple trazabilidad de cambios</t>
  </si>
  <si>
    <t>Auditoría final muestra huecos en registros.</t>
  </si>
  <si>
    <t>Solicitar certificados con anticipación y tener proveedor alternativo</t>
  </si>
  <si>
    <t>CLP 150.000</t>
  </si>
  <si>
    <t>Ampliar recursos de la VM en OCI (2 OCPUs extra por sprint)</t>
  </si>
  <si>
    <t>Implementar scripts de validación y pruebas piloto con subsets</t>
  </si>
  <si>
    <t>Documentación obligatoria y sesiones de transferencia de conocimiento</t>
  </si>
  <si>
    <t>Definir datasets locales alternativos para pruebas</t>
  </si>
  <si>
    <t>Implementar revisiones obligatorias en Bitbucket y políticas de branch</t>
  </si>
  <si>
    <t>Plantilla base validada y pruebas automáticas en pipeline</t>
  </si>
  <si>
    <t>Optimizar queries y usar cachés intermedias</t>
  </si>
  <si>
    <t>CLP 50.000</t>
  </si>
  <si>
    <t>Planificar buffers de revisión de 1 semana</t>
  </si>
  <si>
    <t>Prototipo de roles + pruebas de autorización antes de Sprint 4</t>
  </si>
  <si>
    <t>Pruebas de compatibilidad y fallback en SpringBoot</t>
  </si>
  <si>
    <t>Pruebas end-to-end automáticas con Cypress</t>
  </si>
  <si>
    <t>Monitoreo activo y snapshot backups</t>
  </si>
  <si>
    <t>Formalizar acuerdos de alcance antes del sprint</t>
  </si>
  <si>
    <t>Validación de logs automáticos y doble respaldo</t>
  </si>
  <si>
    <t>PROY-00001</t>
  </si>
  <si>
    <t>Stockify</t>
  </si>
  <si>
    <t>Zenyth Core</t>
  </si>
  <si>
    <t>Fecha:09/09/2025</t>
  </si>
  <si>
    <t>Nicolás Caviedes</t>
  </si>
  <si>
    <t xml:space="preserve">11 de Agosto de 2025 </t>
  </si>
  <si>
    <t>18 de Noviembre de 2025</t>
  </si>
  <si>
    <t>Pubs/Restobar</t>
  </si>
  <si>
    <t>Hollywood Viña del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</si>
</sst>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9"/>
      <name val="Arial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color indexed="9"/>
      <name val="Arial"/>
      <family val="2"/>
    </font>
    <font>
      <b/>
      <sz val="18"/>
      <color indexed="8"/>
      <name val="Calibri"/>
      <family val="2"/>
    </font>
    <font>
      <b/>
      <sz val="1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65"/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7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9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0" fillId="8" borderId="2" xfId="0" applyFill="1" applyBorder="1" applyAlignment="1">
      <alignment horizontal="right"/>
    </xf>
    <xf numFmtId="0" fontId="4" fillId="3" borderId="23" xfId="0" applyFont="1" applyFill="1" applyBorder="1" applyAlignment="1">
      <alignment vertical="center" wrapText="1"/>
    </xf>
    <xf numFmtId="0" fontId="0" fillId="8" borderId="26" xfId="0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0" fillId="8" borderId="27" xfId="0" applyFill="1" applyBorder="1" applyAlignment="1">
      <alignment horizontal="left"/>
    </xf>
    <xf numFmtId="0" fontId="4" fillId="3" borderId="12" xfId="0" applyFont="1" applyFill="1" applyBorder="1" applyAlignment="1">
      <alignment vertical="center" wrapText="1"/>
    </xf>
    <xf numFmtId="0" fontId="0" fillId="13" borderId="9" xfId="0" applyFill="1" applyBorder="1" applyAlignment="1">
      <alignment horizontal="right"/>
    </xf>
    <xf numFmtId="0" fontId="4" fillId="12" borderId="23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left"/>
    </xf>
    <xf numFmtId="0" fontId="11" fillId="3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6" fillId="5" borderId="8" xfId="0" applyFont="1" applyFill="1" applyBorder="1" applyAlignment="1">
      <alignment horizontal="left" vertical="top" wrapText="1"/>
    </xf>
    <xf numFmtId="0" fontId="3" fillId="6" borderId="8" xfId="0" applyFont="1" applyFill="1" applyBorder="1" applyAlignment="1">
      <alignment horizontal="left" vertical="top" wrapText="1"/>
    </xf>
    <xf numFmtId="0" fontId="9" fillId="7" borderId="8" xfId="0" applyFont="1" applyFill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2" xfId="0" applyBorder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4" fontId="4" fillId="12" borderId="0" xfId="0" applyNumberFormat="1" applyFont="1" applyFill="1" applyAlignment="1">
      <alignment vertical="center" wrapText="1"/>
    </xf>
    <xf numFmtId="0" fontId="4" fillId="12" borderId="0" xfId="0" applyFont="1" applyFill="1" applyAlignment="1">
      <alignment horizontal="center" vertical="center" wrapText="1"/>
    </xf>
    <xf numFmtId="0" fontId="4" fillId="12" borderId="0" xfId="0" applyFont="1" applyFill="1" applyAlignment="1">
      <alignment vertical="center" wrapText="1"/>
    </xf>
    <xf numFmtId="0" fontId="4" fillId="12" borderId="0" xfId="0" applyFont="1" applyFill="1" applyAlignment="1" applyProtection="1">
      <alignment horizontal="center" vertical="center" wrapText="1"/>
      <protection locked="0"/>
    </xf>
    <xf numFmtId="0" fontId="0" fillId="9" borderId="9" xfId="0" applyFill="1" applyBorder="1"/>
    <xf numFmtId="0" fontId="3" fillId="0" borderId="29" xfId="0" applyFont="1" applyBorder="1"/>
    <xf numFmtId="0" fontId="4" fillId="3" borderId="2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4" fillId="3" borderId="27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4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10" borderId="19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5" fillId="10" borderId="21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left"/>
    </xf>
    <xf numFmtId="0" fontId="8" fillId="11" borderId="14" xfId="0" applyFont="1" applyFill="1" applyBorder="1" applyAlignment="1">
      <alignment horizontal="left"/>
    </xf>
    <xf numFmtId="0" fontId="8" fillId="11" borderId="15" xfId="0" applyFont="1" applyFill="1" applyBorder="1" applyAlignment="1">
      <alignment horizontal="left"/>
    </xf>
    <xf numFmtId="0" fontId="3" fillId="8" borderId="18" xfId="0" applyFont="1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4" fillId="12" borderId="2" xfId="0" applyFont="1" applyFill="1" applyBorder="1" applyAlignment="1">
      <alignment horizontal="left" vertical="center" wrapText="1"/>
    </xf>
    <xf numFmtId="0" fontId="4" fillId="12" borderId="9" xfId="0" applyFont="1" applyFill="1" applyBorder="1" applyAlignment="1">
      <alignment horizontal="left" vertical="center" wrapText="1"/>
    </xf>
    <xf numFmtId="0" fontId="0" fillId="8" borderId="18" xfId="0" applyFill="1" applyBorder="1" applyAlignment="1">
      <alignment horizontal="left"/>
    </xf>
    <xf numFmtId="0" fontId="4" fillId="3" borderId="23" xfId="0" applyFont="1" applyFill="1" applyBorder="1" applyAlignment="1">
      <alignment horizontal="left" vertical="center" wrapText="1"/>
    </xf>
    <xf numFmtId="0" fontId="0" fillId="8" borderId="24" xfId="0" applyFill="1" applyBorder="1" applyAlignment="1">
      <alignment horizontal="left"/>
    </xf>
    <xf numFmtId="0" fontId="0" fillId="8" borderId="25" xfId="0" applyFill="1" applyBorder="1" applyAlignment="1">
      <alignment horizontal="left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9" borderId="11" xfId="0" applyFill="1" applyBorder="1" applyAlignment="1">
      <alignment horizontal="center"/>
    </xf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6E76A10E-4B29-43A1-B04E-C6EFF1D345A0}"/>
  </cellStyles>
  <dxfs count="3">
    <dxf>
      <font>
        <b/>
        <i val="0"/>
        <condense val="0"/>
        <extend val="0"/>
        <color indexed="9"/>
      </font>
      <fill>
        <patternFill>
          <bgColor indexed="57"/>
        </patternFill>
      </fill>
    </dxf>
    <dxf>
      <font>
        <b/>
        <i val="0"/>
        <condense val="0"/>
        <extend val="0"/>
        <color auto="1"/>
      </font>
      <fill>
        <patternFill>
          <bgColor indexed="13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30"/>
  <sheetViews>
    <sheetView tabSelected="1" workbookViewId="0">
      <selection activeCell="O9" sqref="O9"/>
    </sheetView>
  </sheetViews>
  <sheetFormatPr baseColWidth="10" defaultColWidth="11.42578125" defaultRowHeight="13.5" x14ac:dyDescent="0.2"/>
  <cols>
    <col min="1" max="1" width="1.85546875" style="8" customWidth="1"/>
    <col min="2" max="2" width="0.85546875" style="8" customWidth="1"/>
    <col min="3" max="3" width="3.5703125" style="8" customWidth="1"/>
    <col min="4" max="4" width="6.85546875" style="8" bestFit="1" customWidth="1"/>
    <col min="5" max="5" width="5.140625" style="8" customWidth="1"/>
    <col min="6" max="6" width="7.5703125" style="8" customWidth="1"/>
    <col min="7" max="7" width="8.42578125" style="8" customWidth="1"/>
    <col min="8" max="8" width="6.5703125" style="8" customWidth="1"/>
    <col min="9" max="9" width="2.140625" style="8" customWidth="1"/>
    <col min="10" max="10" width="14.140625" style="8" customWidth="1"/>
    <col min="11" max="11" width="13.140625" style="8" customWidth="1"/>
    <col min="12" max="12" width="38" style="8" customWidth="1"/>
    <col min="13" max="14" width="11.42578125" style="8"/>
    <col min="15" max="15" width="37.5703125" style="8" bestFit="1" customWidth="1"/>
    <col min="16" max="16384" width="11.42578125" style="8"/>
  </cols>
  <sheetData>
    <row r="1" spans="2:12" ht="14.25" thickBot="1" x14ac:dyDescent="0.25"/>
    <row r="2" spans="2:12" ht="90" customHeight="1" x14ac:dyDescent="0.2">
      <c r="B2" s="73"/>
      <c r="C2" s="74"/>
      <c r="D2" s="74"/>
      <c r="E2" s="74"/>
      <c r="F2" s="74"/>
      <c r="G2" s="74"/>
      <c r="H2" s="70" t="s">
        <v>37</v>
      </c>
      <c r="I2" s="71"/>
      <c r="J2" s="71"/>
      <c r="K2" s="71"/>
      <c r="L2" s="72"/>
    </row>
    <row r="3" spans="2:12" ht="7.5" customHeight="1" x14ac:dyDescent="0.2"/>
    <row r="4" spans="2:12" ht="7.5" customHeight="1" thickBot="1" x14ac:dyDescent="0.25"/>
    <row r="5" spans="2:12" ht="15" x14ac:dyDescent="0.25">
      <c r="C5" s="79" t="s">
        <v>23</v>
      </c>
      <c r="D5" s="80"/>
      <c r="E5" s="80"/>
      <c r="F5" s="80"/>
      <c r="G5" s="80"/>
      <c r="H5" s="80"/>
      <c r="I5" s="80"/>
      <c r="J5" s="80"/>
      <c r="K5" s="80"/>
      <c r="L5" s="81"/>
    </row>
    <row r="6" spans="2:12" ht="15" x14ac:dyDescent="0.25">
      <c r="C6" s="82" t="s">
        <v>30</v>
      </c>
      <c r="D6" s="83"/>
      <c r="E6" s="83"/>
      <c r="F6" s="83"/>
      <c r="G6" s="84" t="s">
        <v>251</v>
      </c>
      <c r="H6" s="85"/>
      <c r="I6" s="85"/>
      <c r="J6" s="33"/>
      <c r="K6" s="33"/>
      <c r="L6" s="34"/>
    </row>
    <row r="7" spans="2:12" ht="15" x14ac:dyDescent="0.25">
      <c r="C7" s="86" t="s">
        <v>24</v>
      </c>
      <c r="D7" s="83"/>
      <c r="E7" s="83"/>
      <c r="F7" s="83"/>
      <c r="G7" s="64" t="s">
        <v>252</v>
      </c>
      <c r="H7" s="65"/>
      <c r="I7" s="65"/>
      <c r="J7" s="65"/>
      <c r="K7" s="65"/>
      <c r="L7" s="28"/>
    </row>
    <row r="8" spans="2:12" ht="15" x14ac:dyDescent="0.25">
      <c r="C8" s="29" t="s">
        <v>42</v>
      </c>
      <c r="D8" s="30"/>
      <c r="E8" s="30"/>
      <c r="F8" s="31"/>
      <c r="G8" s="64" t="s">
        <v>255</v>
      </c>
      <c r="H8" s="65"/>
      <c r="I8" s="65"/>
      <c r="J8" s="65"/>
      <c r="K8" s="26"/>
      <c r="L8" s="28"/>
    </row>
    <row r="9" spans="2:12" ht="15" x14ac:dyDescent="0.25">
      <c r="C9" s="35" t="s">
        <v>31</v>
      </c>
      <c r="D9" s="30"/>
      <c r="E9" s="30"/>
      <c r="F9" s="31"/>
      <c r="G9" s="64" t="s">
        <v>255</v>
      </c>
      <c r="H9" s="65"/>
      <c r="I9" s="65"/>
      <c r="J9" s="65"/>
      <c r="K9" s="65"/>
      <c r="L9" s="87"/>
    </row>
    <row r="10" spans="2:12" ht="15" x14ac:dyDescent="0.25">
      <c r="C10" s="86" t="s">
        <v>25</v>
      </c>
      <c r="D10" s="83"/>
      <c r="E10" s="83"/>
      <c r="F10" s="83"/>
      <c r="G10" s="64" t="s">
        <v>256</v>
      </c>
      <c r="H10" s="65"/>
      <c r="I10" s="65"/>
      <c r="J10" s="65"/>
      <c r="K10" s="65"/>
      <c r="L10" s="28"/>
    </row>
    <row r="11" spans="2:12" ht="15" customHeight="1" x14ac:dyDescent="0.25">
      <c r="C11" s="86" t="s">
        <v>26</v>
      </c>
      <c r="D11" s="83"/>
      <c r="E11" s="83"/>
      <c r="F11" s="83"/>
      <c r="G11" s="66" t="s">
        <v>257</v>
      </c>
      <c r="H11" s="67"/>
      <c r="I11" s="67"/>
      <c r="J11" s="67"/>
      <c r="K11" s="62"/>
      <c r="L11" s="28"/>
    </row>
    <row r="12" spans="2:12" ht="15" customHeight="1" x14ac:dyDescent="0.25">
      <c r="C12" s="82" t="s">
        <v>27</v>
      </c>
      <c r="D12" s="83"/>
      <c r="E12" s="83"/>
      <c r="F12" s="83"/>
      <c r="G12" s="66" t="s">
        <v>259</v>
      </c>
      <c r="H12" s="67"/>
      <c r="I12" s="67"/>
      <c r="J12" s="68"/>
      <c r="K12" s="27" t="s">
        <v>28</v>
      </c>
      <c r="L12" s="25" t="s">
        <v>258</v>
      </c>
    </row>
    <row r="13" spans="2:12" ht="15.75" thickBot="1" x14ac:dyDescent="0.3">
      <c r="C13" s="88" t="s">
        <v>29</v>
      </c>
      <c r="D13" s="89"/>
      <c r="E13" s="89"/>
      <c r="F13" s="89"/>
      <c r="G13" s="90" t="s">
        <v>253</v>
      </c>
      <c r="H13" s="91"/>
      <c r="I13" s="91"/>
      <c r="J13" s="92"/>
      <c r="K13" s="92"/>
      <c r="L13" s="32"/>
    </row>
    <row r="14" spans="2:12" ht="7.5" customHeight="1" x14ac:dyDescent="0.2"/>
    <row r="15" spans="2:12" ht="7.5" customHeight="1" x14ac:dyDescent="0.2"/>
    <row r="16" spans="2:12" ht="7.5" customHeight="1" thickBot="1" x14ac:dyDescent="0.25"/>
    <row r="17" spans="2:12" ht="14.25" thickBot="1" x14ac:dyDescent="0.25">
      <c r="B17" s="76" t="s">
        <v>43</v>
      </c>
      <c r="C17" s="77"/>
      <c r="D17" s="77"/>
      <c r="E17" s="77"/>
      <c r="F17" s="77"/>
      <c r="G17" s="77"/>
      <c r="H17" s="77"/>
      <c r="I17" s="77"/>
      <c r="J17" s="77"/>
      <c r="K17" s="77"/>
      <c r="L17" s="78"/>
    </row>
    <row r="18" spans="2:12" x14ac:dyDescent="0.2">
      <c r="B18" s="10"/>
      <c r="L18" s="11"/>
    </row>
    <row r="19" spans="2:12" ht="25.5" x14ac:dyDescent="0.2">
      <c r="B19" s="10"/>
      <c r="C19" s="12"/>
      <c r="D19" s="12"/>
      <c r="E19" s="12"/>
      <c r="F19" s="75" t="s">
        <v>1</v>
      </c>
      <c r="G19" s="75"/>
      <c r="H19" s="75"/>
      <c r="I19" s="12"/>
      <c r="J19" s="37" t="s">
        <v>5</v>
      </c>
      <c r="K19" s="9" t="s">
        <v>6</v>
      </c>
      <c r="L19" s="38" t="s">
        <v>7</v>
      </c>
    </row>
    <row r="20" spans="2:12" x14ac:dyDescent="0.2">
      <c r="B20" s="10"/>
      <c r="C20" s="12"/>
      <c r="D20" s="12"/>
      <c r="E20" s="12"/>
      <c r="F20" s="13" t="s">
        <v>3</v>
      </c>
      <c r="G20" s="13" t="s">
        <v>19</v>
      </c>
      <c r="H20" s="13" t="s">
        <v>2</v>
      </c>
      <c r="I20" s="12"/>
      <c r="J20" s="14" t="s">
        <v>20</v>
      </c>
      <c r="K20" s="14">
        <v>1</v>
      </c>
      <c r="L20" s="39" t="s">
        <v>10</v>
      </c>
    </row>
    <row r="21" spans="2:12" x14ac:dyDescent="0.2">
      <c r="B21" s="10"/>
      <c r="C21" s="12"/>
      <c r="D21" s="12"/>
      <c r="E21" s="12"/>
      <c r="F21" s="13">
        <v>1</v>
      </c>
      <c r="G21" s="13">
        <v>2</v>
      </c>
      <c r="H21" s="13">
        <v>3</v>
      </c>
      <c r="I21" s="12"/>
      <c r="J21" s="15" t="s">
        <v>21</v>
      </c>
      <c r="K21" s="22">
        <v>2</v>
      </c>
      <c r="L21" s="40" t="s">
        <v>9</v>
      </c>
    </row>
    <row r="22" spans="2:12" ht="27" customHeight="1" x14ac:dyDescent="0.2">
      <c r="B22" s="10"/>
      <c r="C22" s="69" t="s">
        <v>4</v>
      </c>
      <c r="D22" s="13" t="s">
        <v>20</v>
      </c>
      <c r="E22" s="13">
        <v>1</v>
      </c>
      <c r="F22" s="14">
        <f>E22*F21</f>
        <v>1</v>
      </c>
      <c r="G22" s="14">
        <f>E22*G21</f>
        <v>2</v>
      </c>
      <c r="H22" s="15">
        <f>E22*H21</f>
        <v>3</v>
      </c>
      <c r="I22" s="12"/>
      <c r="J22" s="23" t="s">
        <v>22</v>
      </c>
      <c r="K22" s="24">
        <v>3</v>
      </c>
      <c r="L22" s="41" t="s">
        <v>8</v>
      </c>
    </row>
    <row r="23" spans="2:12" ht="27" customHeight="1" x14ac:dyDescent="0.2">
      <c r="B23" s="10"/>
      <c r="C23" s="69"/>
      <c r="D23" s="13" t="s">
        <v>21</v>
      </c>
      <c r="E23" s="13">
        <v>2</v>
      </c>
      <c r="F23" s="14">
        <f>E23*F21</f>
        <v>2</v>
      </c>
      <c r="G23" s="15">
        <f>E23*G21</f>
        <v>4</v>
      </c>
      <c r="H23" s="16">
        <f>E23*H21</f>
        <v>6</v>
      </c>
      <c r="I23" s="12"/>
      <c r="J23" s="12"/>
      <c r="K23" s="12"/>
      <c r="L23" s="42"/>
    </row>
    <row r="24" spans="2:12" ht="27" customHeight="1" x14ac:dyDescent="0.2">
      <c r="B24" s="10"/>
      <c r="C24" s="69"/>
      <c r="D24" s="13" t="s">
        <v>22</v>
      </c>
      <c r="E24" s="13">
        <v>3</v>
      </c>
      <c r="F24" s="15">
        <f>E24*F21</f>
        <v>3</v>
      </c>
      <c r="G24" s="16">
        <f>E24*G21</f>
        <v>6</v>
      </c>
      <c r="H24" s="16">
        <f>E24*H21</f>
        <v>9</v>
      </c>
      <c r="I24" s="12"/>
      <c r="J24" s="37" t="s">
        <v>11</v>
      </c>
      <c r="K24" s="9" t="s">
        <v>12</v>
      </c>
      <c r="L24" s="38" t="s">
        <v>7</v>
      </c>
    </row>
    <row r="25" spans="2:12" x14ac:dyDescent="0.2">
      <c r="B25" s="10"/>
      <c r="C25" s="12"/>
      <c r="D25" s="12"/>
      <c r="E25" s="12"/>
      <c r="F25" s="12"/>
      <c r="G25" s="12"/>
      <c r="H25" s="12"/>
      <c r="I25" s="12"/>
      <c r="J25" s="14" t="s">
        <v>3</v>
      </c>
      <c r="K25" s="14">
        <v>1</v>
      </c>
      <c r="L25" s="43" t="s">
        <v>15</v>
      </c>
    </row>
    <row r="26" spans="2:12" x14ac:dyDescent="0.2">
      <c r="B26" s="10"/>
      <c r="D26" s="21"/>
      <c r="E26" s="21"/>
      <c r="H26" s="21"/>
      <c r="J26" s="15" t="s">
        <v>19</v>
      </c>
      <c r="K26" s="22">
        <v>2</v>
      </c>
      <c r="L26" s="44" t="s">
        <v>14</v>
      </c>
    </row>
    <row r="27" spans="2:12" x14ac:dyDescent="0.2">
      <c r="B27" s="10"/>
      <c r="D27" s="21"/>
      <c r="E27" s="21"/>
      <c r="J27" s="23" t="s">
        <v>2</v>
      </c>
      <c r="K27" s="24">
        <v>3</v>
      </c>
      <c r="L27" s="45" t="s">
        <v>13</v>
      </c>
    </row>
    <row r="28" spans="2:12" ht="9.75" customHeight="1" thickBot="1" x14ac:dyDescent="0.25">
      <c r="B28" s="17"/>
      <c r="C28" s="18"/>
      <c r="D28" s="19"/>
      <c r="E28" s="19"/>
      <c r="F28" s="18"/>
      <c r="G28" s="18"/>
      <c r="H28" s="18"/>
      <c r="I28" s="18"/>
      <c r="J28" s="18"/>
      <c r="K28" s="18"/>
      <c r="L28" s="20"/>
    </row>
    <row r="29" spans="2:12" ht="13.5" customHeight="1" x14ac:dyDescent="0.2">
      <c r="D29" s="21"/>
      <c r="E29" s="21"/>
    </row>
    <row r="30" spans="2:12" ht="13.5" customHeight="1" x14ac:dyDescent="0.2">
      <c r="D30" s="21"/>
      <c r="E30" s="21"/>
    </row>
  </sheetData>
  <mergeCells count="21">
    <mergeCell ref="H2:L2"/>
    <mergeCell ref="B2:G2"/>
    <mergeCell ref="F19:H19"/>
    <mergeCell ref="B17:L17"/>
    <mergeCell ref="C5:L5"/>
    <mergeCell ref="C6:F6"/>
    <mergeCell ref="G6:I6"/>
    <mergeCell ref="C7:F7"/>
    <mergeCell ref="G7:K7"/>
    <mergeCell ref="G9:L9"/>
    <mergeCell ref="C10:F10"/>
    <mergeCell ref="C13:F13"/>
    <mergeCell ref="G13:I13"/>
    <mergeCell ref="J13:K13"/>
    <mergeCell ref="C11:F11"/>
    <mergeCell ref="C12:F12"/>
    <mergeCell ref="G8:J8"/>
    <mergeCell ref="G11:J11"/>
    <mergeCell ref="G10:K10"/>
    <mergeCell ref="G12:J12"/>
    <mergeCell ref="C22:C24"/>
  </mergeCells>
  <phoneticPr fontId="0" type="noConversion"/>
  <pageMargins left="0.75" right="0.75" top="1" bottom="1" header="0" footer="0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457"/>
  <sheetViews>
    <sheetView zoomScale="160" zoomScaleNormal="160" workbookViewId="0">
      <selection activeCell="D2" sqref="D2"/>
    </sheetView>
  </sheetViews>
  <sheetFormatPr baseColWidth="10" defaultColWidth="11.42578125" defaultRowHeight="13.5" x14ac:dyDescent="0.2"/>
  <cols>
    <col min="1" max="1" width="14.5703125" style="8" customWidth="1"/>
    <col min="2" max="2" width="4.28515625" style="55" bestFit="1" customWidth="1"/>
    <col min="3" max="3" width="27.28515625" style="8" customWidth="1"/>
    <col min="4" max="4" width="13.5703125" style="8" customWidth="1"/>
    <col min="5" max="5" width="28.7109375" style="8" customWidth="1"/>
    <col min="6" max="6" width="27.140625" style="8" customWidth="1"/>
    <col min="7" max="7" width="55.140625" style="8" customWidth="1"/>
    <col min="8" max="8" width="23.28515625" style="8" customWidth="1"/>
    <col min="9" max="9" width="14.28515625" style="8" customWidth="1"/>
    <col min="10" max="10" width="21" style="8" customWidth="1"/>
    <col min="11" max="11" width="14.28515625" style="8" customWidth="1"/>
    <col min="12" max="12" width="13.7109375" style="8" customWidth="1"/>
    <col min="13" max="13" width="41" style="8" customWidth="1"/>
    <col min="14" max="14" width="23.42578125" style="8" customWidth="1"/>
    <col min="15" max="15" width="38.5703125" style="8" customWidth="1"/>
    <col min="16" max="16" width="21" style="8" customWidth="1"/>
    <col min="17" max="16384" width="11.42578125" style="8"/>
  </cols>
  <sheetData>
    <row r="2" spans="1:20" customFormat="1" ht="12.75" x14ac:dyDescent="0.2">
      <c r="B2" s="52" t="s">
        <v>39</v>
      </c>
      <c r="C2" s="46"/>
      <c r="D2" s="47" t="s">
        <v>251</v>
      </c>
      <c r="E2" s="63" t="s">
        <v>254</v>
      </c>
    </row>
    <row r="3" spans="1:20" customFormat="1" ht="12.75" x14ac:dyDescent="0.2">
      <c r="B3" s="53" t="s">
        <v>41</v>
      </c>
      <c r="C3" s="48"/>
      <c r="D3" s="49" t="s">
        <v>252</v>
      </c>
      <c r="E3" s="49"/>
    </row>
    <row r="4" spans="1:20" customFormat="1" ht="12.75" x14ac:dyDescent="0.2">
      <c r="B4" s="54" t="s">
        <v>40</v>
      </c>
      <c r="C4" s="50"/>
      <c r="D4" s="51" t="s">
        <v>253</v>
      </c>
      <c r="E4" s="51"/>
    </row>
    <row r="5" spans="1:20" customFormat="1" ht="12.75" x14ac:dyDescent="0.2">
      <c r="B5" s="57"/>
    </row>
    <row r="6" spans="1:20" ht="31.5" customHeight="1" x14ac:dyDescent="0.2">
      <c r="A6" s="36" t="s">
        <v>36</v>
      </c>
    </row>
    <row r="7" spans="1:20" s="2" customFormat="1" ht="45" customHeight="1" x14ac:dyDescent="0.2">
      <c r="A7" s="1" t="s">
        <v>34</v>
      </c>
      <c r="B7" s="1" t="s">
        <v>44</v>
      </c>
      <c r="C7" s="1" t="s">
        <v>32</v>
      </c>
      <c r="D7" s="1" t="s">
        <v>45</v>
      </c>
      <c r="E7" s="1" t="s">
        <v>38</v>
      </c>
      <c r="F7" s="1" t="s">
        <v>33</v>
      </c>
      <c r="G7" s="1" t="s">
        <v>35</v>
      </c>
      <c r="H7" s="1" t="s">
        <v>4</v>
      </c>
      <c r="I7" s="1" t="s">
        <v>16</v>
      </c>
      <c r="J7" s="1" t="s">
        <v>1</v>
      </c>
      <c r="K7" s="1" t="s">
        <v>17</v>
      </c>
      <c r="L7" s="1" t="s">
        <v>0</v>
      </c>
      <c r="M7" s="1" t="s">
        <v>18</v>
      </c>
      <c r="N7" s="1" t="s">
        <v>47</v>
      </c>
      <c r="O7" s="1" t="s">
        <v>48</v>
      </c>
      <c r="P7" s="1" t="s">
        <v>49</v>
      </c>
    </row>
    <row r="8" spans="1:20" s="2" customFormat="1" ht="111.75" customHeight="1" x14ac:dyDescent="0.2">
      <c r="A8" s="93" t="s">
        <v>52</v>
      </c>
      <c r="B8" s="93">
        <v>1</v>
      </c>
      <c r="C8" s="94" t="s">
        <v>53</v>
      </c>
      <c r="D8" s="93" t="s">
        <v>50</v>
      </c>
      <c r="E8" s="94" t="s">
        <v>54</v>
      </c>
      <c r="F8" s="94" t="s">
        <v>55</v>
      </c>
      <c r="G8" s="94" t="s">
        <v>56</v>
      </c>
      <c r="H8" s="4" t="s">
        <v>22</v>
      </c>
      <c r="I8" s="4">
        <f>IF(H8="Alta",3,IF(H8="Media",2,IF(H8="Baja",1,0)))</f>
        <v>3</v>
      </c>
      <c r="J8" s="4" t="s">
        <v>2</v>
      </c>
      <c r="K8" s="4">
        <f>IF(J8="Alto",3,IF(J8="Medio",2,IF(J8="Bajo",1,0)))</f>
        <v>3</v>
      </c>
      <c r="L8" s="4">
        <f>I8*K8</f>
        <v>9</v>
      </c>
      <c r="M8" s="5" t="s">
        <v>132</v>
      </c>
      <c r="N8" s="4" t="s">
        <v>51</v>
      </c>
      <c r="O8" s="94" t="s">
        <v>136</v>
      </c>
      <c r="P8" s="93" t="s">
        <v>137</v>
      </c>
    </row>
    <row r="9" spans="1:20" s="2" customFormat="1" ht="96.75" customHeight="1" x14ac:dyDescent="0.2">
      <c r="A9" s="93" t="s">
        <v>57</v>
      </c>
      <c r="B9" s="93">
        <v>2</v>
      </c>
      <c r="C9" s="94" t="s">
        <v>58</v>
      </c>
      <c r="D9" s="93" t="s">
        <v>50</v>
      </c>
      <c r="E9" s="94" t="s">
        <v>59</v>
      </c>
      <c r="F9" s="94" t="s">
        <v>60</v>
      </c>
      <c r="G9" s="94" t="s">
        <v>61</v>
      </c>
      <c r="H9" s="4" t="s">
        <v>21</v>
      </c>
      <c r="I9" s="4">
        <f t="shared" ref="I9:I72" si="0">IF(H9="Alta",3,IF(H9="Media",2,IF(H9="Baja",1,0)))</f>
        <v>2</v>
      </c>
      <c r="J9" s="4" t="s">
        <v>2</v>
      </c>
      <c r="K9" s="4">
        <f t="shared" ref="K9:K72" si="1">IF(J9="Alto",3,IF(J9="Medio",2,IF(J9="Bajo",1,0)))</f>
        <v>3</v>
      </c>
      <c r="L9" s="4">
        <f t="shared" ref="L9:L72" si="2">I9*K9</f>
        <v>6</v>
      </c>
      <c r="M9" s="5" t="s">
        <v>132</v>
      </c>
      <c r="N9" s="4" t="s">
        <v>51</v>
      </c>
      <c r="O9" s="94" t="s">
        <v>138</v>
      </c>
      <c r="P9" s="93" t="s">
        <v>139</v>
      </c>
    </row>
    <row r="10" spans="1:20" s="2" customFormat="1" ht="96.75" customHeight="1" x14ac:dyDescent="0.2">
      <c r="A10" s="93" t="s">
        <v>62</v>
      </c>
      <c r="B10" s="93">
        <v>3</v>
      </c>
      <c r="C10" s="94" t="s">
        <v>63</v>
      </c>
      <c r="D10" s="93" t="s">
        <v>50</v>
      </c>
      <c r="E10" s="94" t="s">
        <v>64</v>
      </c>
      <c r="F10" s="94" t="s">
        <v>65</v>
      </c>
      <c r="G10" s="94" t="s">
        <v>66</v>
      </c>
      <c r="H10" s="4" t="s">
        <v>21</v>
      </c>
      <c r="I10" s="4">
        <f t="shared" si="0"/>
        <v>2</v>
      </c>
      <c r="J10" s="4" t="s">
        <v>2</v>
      </c>
      <c r="K10" s="4">
        <f t="shared" si="1"/>
        <v>3</v>
      </c>
      <c r="L10" s="4">
        <f t="shared" si="2"/>
        <v>6</v>
      </c>
      <c r="M10" s="5" t="s">
        <v>132</v>
      </c>
      <c r="N10" s="4" t="s">
        <v>51</v>
      </c>
      <c r="O10" s="94" t="s">
        <v>140</v>
      </c>
      <c r="P10" s="93" t="s">
        <v>139</v>
      </c>
    </row>
    <row r="11" spans="1:20" s="2" customFormat="1" ht="96.75" customHeight="1" x14ac:dyDescent="0.2">
      <c r="A11" s="93" t="s">
        <v>67</v>
      </c>
      <c r="B11" s="93">
        <v>4</v>
      </c>
      <c r="C11" s="94" t="s">
        <v>68</v>
      </c>
      <c r="D11" s="93" t="s">
        <v>50</v>
      </c>
      <c r="E11" s="94" t="s">
        <v>69</v>
      </c>
      <c r="F11" s="94" t="s">
        <v>70</v>
      </c>
      <c r="G11" s="94" t="s">
        <v>71</v>
      </c>
      <c r="H11" s="4" t="s">
        <v>21</v>
      </c>
      <c r="I11" s="4">
        <f t="shared" si="0"/>
        <v>2</v>
      </c>
      <c r="J11" s="4" t="s">
        <v>19</v>
      </c>
      <c r="K11" s="4">
        <f t="shared" si="1"/>
        <v>2</v>
      </c>
      <c r="L11" s="4">
        <f t="shared" si="2"/>
        <v>4</v>
      </c>
      <c r="M11" s="5" t="s">
        <v>132</v>
      </c>
      <c r="N11" s="4" t="s">
        <v>51</v>
      </c>
      <c r="O11" s="94" t="s">
        <v>141</v>
      </c>
      <c r="P11" s="93" t="s">
        <v>142</v>
      </c>
    </row>
    <row r="12" spans="1:20" s="2" customFormat="1" ht="96.75" customHeight="1" x14ac:dyDescent="0.2">
      <c r="A12" s="93" t="s">
        <v>72</v>
      </c>
      <c r="B12" s="93">
        <v>5</v>
      </c>
      <c r="C12" s="94" t="s">
        <v>73</v>
      </c>
      <c r="D12" s="93" t="s">
        <v>50</v>
      </c>
      <c r="E12" s="94" t="s">
        <v>74</v>
      </c>
      <c r="F12" s="94" t="s">
        <v>75</v>
      </c>
      <c r="G12" s="94" t="s">
        <v>76</v>
      </c>
      <c r="H12" s="4" t="s">
        <v>21</v>
      </c>
      <c r="I12" s="4">
        <f t="shared" si="0"/>
        <v>2</v>
      </c>
      <c r="J12" s="4" t="s">
        <v>2</v>
      </c>
      <c r="K12" s="4">
        <f t="shared" si="1"/>
        <v>3</v>
      </c>
      <c r="L12" s="4">
        <f t="shared" si="2"/>
        <v>6</v>
      </c>
      <c r="M12" s="5" t="s">
        <v>132</v>
      </c>
      <c r="N12" s="4" t="s">
        <v>51</v>
      </c>
      <c r="O12" s="94" t="s">
        <v>143</v>
      </c>
      <c r="P12" s="94" t="s">
        <v>144</v>
      </c>
      <c r="S12" s="7"/>
      <c r="T12" s="3"/>
    </row>
    <row r="13" spans="1:20" ht="30" x14ac:dyDescent="0.2">
      <c r="A13" s="93" t="s">
        <v>77</v>
      </c>
      <c r="B13" s="93">
        <v>6</v>
      </c>
      <c r="C13" s="94" t="s">
        <v>78</v>
      </c>
      <c r="D13" s="93" t="s">
        <v>79</v>
      </c>
      <c r="E13" s="94" t="s">
        <v>80</v>
      </c>
      <c r="F13" s="94" t="s">
        <v>81</v>
      </c>
      <c r="G13" s="94" t="s">
        <v>82</v>
      </c>
      <c r="H13" s="4" t="s">
        <v>22</v>
      </c>
      <c r="I13" s="4">
        <f t="shared" si="0"/>
        <v>3</v>
      </c>
      <c r="J13" s="4" t="s">
        <v>19</v>
      </c>
      <c r="K13" s="4">
        <f t="shared" si="1"/>
        <v>2</v>
      </c>
      <c r="L13" s="4">
        <f t="shared" si="2"/>
        <v>6</v>
      </c>
      <c r="M13" s="5" t="s">
        <v>130</v>
      </c>
      <c r="N13" s="4" t="s">
        <v>133</v>
      </c>
      <c r="O13" s="94" t="s">
        <v>145</v>
      </c>
      <c r="P13" s="93" t="s">
        <v>146</v>
      </c>
      <c r="S13" s="7"/>
      <c r="T13" s="7"/>
    </row>
    <row r="14" spans="1:20" ht="30" x14ac:dyDescent="0.2">
      <c r="A14" s="93" t="s">
        <v>83</v>
      </c>
      <c r="B14" s="93">
        <v>7</v>
      </c>
      <c r="C14" s="94" t="s">
        <v>84</v>
      </c>
      <c r="D14" s="93" t="s">
        <v>79</v>
      </c>
      <c r="E14" s="94" t="s">
        <v>85</v>
      </c>
      <c r="F14" s="94" t="s">
        <v>86</v>
      </c>
      <c r="G14" s="94" t="s">
        <v>87</v>
      </c>
      <c r="H14" s="4" t="s">
        <v>21</v>
      </c>
      <c r="I14" s="4">
        <f t="shared" si="0"/>
        <v>2</v>
      </c>
      <c r="J14" s="4" t="s">
        <v>2</v>
      </c>
      <c r="K14" s="4">
        <f t="shared" si="1"/>
        <v>3</v>
      </c>
      <c r="L14" s="4">
        <f t="shared" si="2"/>
        <v>6</v>
      </c>
      <c r="M14" s="5" t="s">
        <v>131</v>
      </c>
      <c r="N14" s="4" t="s">
        <v>51</v>
      </c>
      <c r="O14" s="94" t="s">
        <v>147</v>
      </c>
      <c r="P14" s="93" t="s">
        <v>148</v>
      </c>
    </row>
    <row r="15" spans="1:20" ht="30" x14ac:dyDescent="0.2">
      <c r="A15" s="93" t="s">
        <v>88</v>
      </c>
      <c r="B15" s="93">
        <v>8</v>
      </c>
      <c r="C15" s="94" t="s">
        <v>89</v>
      </c>
      <c r="D15" s="93" t="s">
        <v>79</v>
      </c>
      <c r="E15" s="94" t="s">
        <v>90</v>
      </c>
      <c r="F15" s="94" t="s">
        <v>91</v>
      </c>
      <c r="G15" s="94" t="s">
        <v>92</v>
      </c>
      <c r="H15" s="4" t="s">
        <v>21</v>
      </c>
      <c r="I15" s="4">
        <f t="shared" si="0"/>
        <v>2</v>
      </c>
      <c r="J15" s="4" t="s">
        <v>19</v>
      </c>
      <c r="K15" s="4">
        <f t="shared" si="1"/>
        <v>2</v>
      </c>
      <c r="L15" s="4">
        <f t="shared" si="2"/>
        <v>4</v>
      </c>
      <c r="M15" s="5" t="s">
        <v>130</v>
      </c>
      <c r="N15" s="4" t="s">
        <v>51</v>
      </c>
      <c r="O15" s="94" t="s">
        <v>149</v>
      </c>
      <c r="P15" s="93" t="s">
        <v>148</v>
      </c>
    </row>
    <row r="16" spans="1:20" ht="30" x14ac:dyDescent="0.2">
      <c r="A16" s="93" t="s">
        <v>93</v>
      </c>
      <c r="B16" s="93">
        <v>9</v>
      </c>
      <c r="C16" s="94" t="s">
        <v>94</v>
      </c>
      <c r="D16" s="93" t="s">
        <v>95</v>
      </c>
      <c r="E16" s="94" t="s">
        <v>96</v>
      </c>
      <c r="F16" s="94" t="s">
        <v>97</v>
      </c>
      <c r="G16" s="94" t="s">
        <v>98</v>
      </c>
      <c r="H16" s="4" t="s">
        <v>22</v>
      </c>
      <c r="I16" s="4">
        <f t="shared" si="0"/>
        <v>3</v>
      </c>
      <c r="J16" s="4" t="s">
        <v>2</v>
      </c>
      <c r="K16" s="4">
        <f t="shared" si="1"/>
        <v>3</v>
      </c>
      <c r="L16" s="4">
        <f t="shared" si="2"/>
        <v>9</v>
      </c>
      <c r="M16" s="5" t="s">
        <v>132</v>
      </c>
      <c r="N16" s="4" t="s">
        <v>134</v>
      </c>
      <c r="O16" s="94" t="s">
        <v>150</v>
      </c>
      <c r="P16" s="93" t="s">
        <v>137</v>
      </c>
    </row>
    <row r="17" spans="1:16" ht="30" x14ac:dyDescent="0.2">
      <c r="A17" s="93" t="s">
        <v>99</v>
      </c>
      <c r="B17" s="93">
        <v>10</v>
      </c>
      <c r="C17" s="94" t="s">
        <v>100</v>
      </c>
      <c r="D17" s="93" t="s">
        <v>95</v>
      </c>
      <c r="E17" s="94" t="s">
        <v>101</v>
      </c>
      <c r="F17" s="94" t="s">
        <v>102</v>
      </c>
      <c r="G17" s="94" t="s">
        <v>103</v>
      </c>
      <c r="H17" s="4" t="s">
        <v>21</v>
      </c>
      <c r="I17" s="4">
        <f t="shared" si="0"/>
        <v>2</v>
      </c>
      <c r="J17" s="4" t="s">
        <v>2</v>
      </c>
      <c r="K17" s="4">
        <f t="shared" si="1"/>
        <v>3</v>
      </c>
      <c r="L17" s="4">
        <f t="shared" si="2"/>
        <v>6</v>
      </c>
      <c r="M17" s="5" t="s">
        <v>132</v>
      </c>
      <c r="N17" s="4" t="s">
        <v>51</v>
      </c>
      <c r="O17" s="94" t="s">
        <v>151</v>
      </c>
      <c r="P17" s="93" t="s">
        <v>148</v>
      </c>
    </row>
    <row r="18" spans="1:16" ht="30" x14ac:dyDescent="0.2">
      <c r="A18" s="93" t="s">
        <v>104</v>
      </c>
      <c r="B18" s="93">
        <v>11</v>
      </c>
      <c r="C18" s="94" t="s">
        <v>105</v>
      </c>
      <c r="D18" s="93" t="s">
        <v>46</v>
      </c>
      <c r="E18" s="94" t="s">
        <v>106</v>
      </c>
      <c r="F18" s="94" t="s">
        <v>107</v>
      </c>
      <c r="G18" s="94" t="s">
        <v>108</v>
      </c>
      <c r="H18" s="4" t="s">
        <v>22</v>
      </c>
      <c r="I18" s="4">
        <f t="shared" si="0"/>
        <v>3</v>
      </c>
      <c r="J18" s="4" t="s">
        <v>2</v>
      </c>
      <c r="K18" s="4">
        <f t="shared" si="1"/>
        <v>3</v>
      </c>
      <c r="L18" s="4">
        <f t="shared" si="2"/>
        <v>9</v>
      </c>
      <c r="M18" s="5" t="s">
        <v>132</v>
      </c>
      <c r="N18" s="4" t="s">
        <v>135</v>
      </c>
      <c r="O18" s="94" t="s">
        <v>152</v>
      </c>
      <c r="P18" s="93" t="s">
        <v>153</v>
      </c>
    </row>
    <row r="19" spans="1:16" ht="30" x14ac:dyDescent="0.2">
      <c r="A19" s="93" t="s">
        <v>109</v>
      </c>
      <c r="B19" s="93">
        <v>12</v>
      </c>
      <c r="C19" s="94" t="s">
        <v>110</v>
      </c>
      <c r="D19" s="93" t="s">
        <v>46</v>
      </c>
      <c r="E19" s="94" t="s">
        <v>111</v>
      </c>
      <c r="F19" s="94" t="s">
        <v>112</v>
      </c>
      <c r="G19" s="94" t="s">
        <v>113</v>
      </c>
      <c r="H19" s="4" t="s">
        <v>21</v>
      </c>
      <c r="I19" s="4">
        <f t="shared" si="0"/>
        <v>2</v>
      </c>
      <c r="J19" s="4" t="s">
        <v>2</v>
      </c>
      <c r="K19" s="4">
        <f t="shared" si="1"/>
        <v>3</v>
      </c>
      <c r="L19" s="4">
        <f t="shared" si="2"/>
        <v>6</v>
      </c>
      <c r="M19" s="5" t="s">
        <v>131</v>
      </c>
      <c r="N19" s="4" t="s">
        <v>51</v>
      </c>
      <c r="O19" s="94" t="s">
        <v>154</v>
      </c>
      <c r="P19" s="93" t="s">
        <v>155</v>
      </c>
    </row>
    <row r="20" spans="1:16" ht="84" customHeight="1" x14ac:dyDescent="0.2">
      <c r="A20" s="93" t="s">
        <v>114</v>
      </c>
      <c r="B20" s="93">
        <v>13</v>
      </c>
      <c r="C20" s="94" t="s">
        <v>115</v>
      </c>
      <c r="D20" s="93" t="s">
        <v>46</v>
      </c>
      <c r="E20" s="94" t="s">
        <v>116</v>
      </c>
      <c r="F20" s="94" t="s">
        <v>117</v>
      </c>
      <c r="G20" s="94" t="s">
        <v>118</v>
      </c>
      <c r="H20" s="4" t="s">
        <v>21</v>
      </c>
      <c r="I20" s="4">
        <f t="shared" si="0"/>
        <v>2</v>
      </c>
      <c r="J20" s="4" t="s">
        <v>19</v>
      </c>
      <c r="K20" s="4">
        <f t="shared" si="1"/>
        <v>2</v>
      </c>
      <c r="L20" s="4">
        <f t="shared" si="2"/>
        <v>4</v>
      </c>
      <c r="M20" s="5" t="s">
        <v>130</v>
      </c>
      <c r="N20" s="4" t="s">
        <v>133</v>
      </c>
      <c r="O20" s="94" t="s">
        <v>156</v>
      </c>
      <c r="P20" s="93" t="s">
        <v>142</v>
      </c>
    </row>
    <row r="21" spans="1:16" ht="30" x14ac:dyDescent="0.2">
      <c r="A21" s="93" t="s">
        <v>119</v>
      </c>
      <c r="B21" s="93">
        <v>14</v>
      </c>
      <c r="C21" s="94" t="s">
        <v>120</v>
      </c>
      <c r="D21" s="93" t="s">
        <v>121</v>
      </c>
      <c r="E21" s="94" t="s">
        <v>122</v>
      </c>
      <c r="F21" s="94" t="s">
        <v>123</v>
      </c>
      <c r="G21" s="94" t="s">
        <v>124</v>
      </c>
      <c r="H21" s="4" t="s">
        <v>21</v>
      </c>
      <c r="I21" s="4">
        <f t="shared" si="0"/>
        <v>2</v>
      </c>
      <c r="J21" s="4" t="s">
        <v>2</v>
      </c>
      <c r="K21" s="4">
        <f t="shared" si="1"/>
        <v>3</v>
      </c>
      <c r="L21" s="4">
        <f t="shared" si="2"/>
        <v>6</v>
      </c>
      <c r="M21" s="5" t="s">
        <v>132</v>
      </c>
      <c r="N21" s="4" t="s">
        <v>51</v>
      </c>
      <c r="O21" s="94" t="s">
        <v>157</v>
      </c>
      <c r="P21" s="93" t="s">
        <v>148</v>
      </c>
    </row>
    <row r="22" spans="1:16" ht="30" x14ac:dyDescent="0.2">
      <c r="A22" s="93" t="s">
        <v>125</v>
      </c>
      <c r="B22" s="93">
        <v>15</v>
      </c>
      <c r="C22" s="94" t="s">
        <v>126</v>
      </c>
      <c r="D22" s="93" t="s">
        <v>121</v>
      </c>
      <c r="E22" s="94" t="s">
        <v>127</v>
      </c>
      <c r="F22" s="94" t="s">
        <v>128</v>
      </c>
      <c r="G22" s="94" t="s">
        <v>129</v>
      </c>
      <c r="H22" s="4" t="s">
        <v>21</v>
      </c>
      <c r="I22" s="4">
        <f t="shared" si="0"/>
        <v>2</v>
      </c>
      <c r="J22" s="4" t="s">
        <v>19</v>
      </c>
      <c r="K22" s="4">
        <f t="shared" si="1"/>
        <v>2</v>
      </c>
      <c r="L22" s="4">
        <f t="shared" si="2"/>
        <v>4</v>
      </c>
      <c r="M22" s="5" t="s">
        <v>132</v>
      </c>
      <c r="N22" s="4" t="s">
        <v>51</v>
      </c>
      <c r="O22" s="94" t="s">
        <v>158</v>
      </c>
      <c r="P22" s="93" t="s">
        <v>148</v>
      </c>
    </row>
    <row r="23" spans="1:16" ht="45" x14ac:dyDescent="0.2">
      <c r="A23" s="93" t="s">
        <v>159</v>
      </c>
      <c r="B23" s="93">
        <v>16</v>
      </c>
      <c r="C23" s="94" t="s">
        <v>160</v>
      </c>
      <c r="D23" s="93" t="s">
        <v>46</v>
      </c>
      <c r="E23" s="94" t="s">
        <v>161</v>
      </c>
      <c r="F23" s="94" t="s">
        <v>162</v>
      </c>
      <c r="G23" s="94" t="s">
        <v>163</v>
      </c>
      <c r="H23" s="4" t="s">
        <v>22</v>
      </c>
      <c r="I23" s="4">
        <f t="shared" si="0"/>
        <v>3</v>
      </c>
      <c r="J23" s="4" t="s">
        <v>2</v>
      </c>
      <c r="K23" s="4">
        <f t="shared" ref="K23:K37" si="3">IF(J23="Alto",3,IF(J23="Medio",2,IF(J23="Bajo",1,0)))</f>
        <v>3</v>
      </c>
      <c r="L23" s="4">
        <f t="shared" ref="L23:L37" si="4">I23*K23</f>
        <v>9</v>
      </c>
      <c r="M23" s="5" t="s">
        <v>132</v>
      </c>
      <c r="N23" s="4" t="s">
        <v>51</v>
      </c>
      <c r="O23" s="94" t="s">
        <v>234</v>
      </c>
      <c r="P23" s="93" t="s">
        <v>235</v>
      </c>
    </row>
    <row r="24" spans="1:16" ht="30" x14ac:dyDescent="0.2">
      <c r="A24" s="93" t="s">
        <v>164</v>
      </c>
      <c r="B24" s="93">
        <v>17</v>
      </c>
      <c r="C24" s="94" t="s">
        <v>165</v>
      </c>
      <c r="D24" s="93" t="s">
        <v>50</v>
      </c>
      <c r="E24" s="94" t="s">
        <v>166</v>
      </c>
      <c r="F24" s="94" t="s">
        <v>167</v>
      </c>
      <c r="G24" s="94" t="s">
        <v>168</v>
      </c>
      <c r="H24" s="4" t="s">
        <v>21</v>
      </c>
      <c r="I24" s="4">
        <f t="shared" si="0"/>
        <v>2</v>
      </c>
      <c r="J24" s="4" t="s">
        <v>2</v>
      </c>
      <c r="K24" s="4">
        <f t="shared" si="3"/>
        <v>3</v>
      </c>
      <c r="L24" s="4">
        <f t="shared" si="4"/>
        <v>6</v>
      </c>
      <c r="M24" s="5" t="s">
        <v>132</v>
      </c>
      <c r="N24" s="4" t="s">
        <v>51</v>
      </c>
      <c r="O24" s="94" t="s">
        <v>236</v>
      </c>
      <c r="P24" s="93" t="s">
        <v>144</v>
      </c>
    </row>
    <row r="25" spans="1:16" ht="30" x14ac:dyDescent="0.2">
      <c r="A25" s="93" t="s">
        <v>169</v>
      </c>
      <c r="B25" s="93">
        <v>18</v>
      </c>
      <c r="C25" s="94" t="s">
        <v>170</v>
      </c>
      <c r="D25" s="93" t="s">
        <v>50</v>
      </c>
      <c r="E25" s="94" t="s">
        <v>171</v>
      </c>
      <c r="F25" s="94" t="s">
        <v>172</v>
      </c>
      <c r="G25" s="94" t="s">
        <v>173</v>
      </c>
      <c r="H25" s="4" t="s">
        <v>22</v>
      </c>
      <c r="I25" s="4">
        <f t="shared" si="0"/>
        <v>3</v>
      </c>
      <c r="J25" s="4" t="s">
        <v>19</v>
      </c>
      <c r="K25" s="4">
        <f t="shared" si="3"/>
        <v>2</v>
      </c>
      <c r="L25" s="4">
        <f t="shared" si="4"/>
        <v>6</v>
      </c>
      <c r="M25" s="5" t="s">
        <v>130</v>
      </c>
      <c r="N25" s="4" t="s">
        <v>51</v>
      </c>
      <c r="O25" s="94" t="s">
        <v>237</v>
      </c>
      <c r="P25" s="93" t="s">
        <v>142</v>
      </c>
    </row>
    <row r="26" spans="1:16" ht="45" x14ac:dyDescent="0.2">
      <c r="A26" s="93" t="s">
        <v>174</v>
      </c>
      <c r="B26" s="93">
        <v>19</v>
      </c>
      <c r="C26" s="94" t="s">
        <v>175</v>
      </c>
      <c r="D26" s="93" t="s">
        <v>79</v>
      </c>
      <c r="E26" s="94" t="s">
        <v>176</v>
      </c>
      <c r="F26" s="94" t="s">
        <v>177</v>
      </c>
      <c r="G26" s="94" t="s">
        <v>178</v>
      </c>
      <c r="H26" s="4" t="s">
        <v>22</v>
      </c>
      <c r="I26" s="4">
        <f t="shared" si="0"/>
        <v>3</v>
      </c>
      <c r="J26" s="4" t="s">
        <v>2</v>
      </c>
      <c r="K26" s="4">
        <f t="shared" si="3"/>
        <v>3</v>
      </c>
      <c r="L26" s="4">
        <f t="shared" si="4"/>
        <v>9</v>
      </c>
      <c r="M26" s="5" t="s">
        <v>130</v>
      </c>
      <c r="N26" s="4" t="s">
        <v>51</v>
      </c>
      <c r="O26" s="94" t="s">
        <v>238</v>
      </c>
      <c r="P26" s="93" t="s">
        <v>148</v>
      </c>
    </row>
    <row r="27" spans="1:16" ht="30" x14ac:dyDescent="0.2">
      <c r="A27" s="93" t="s">
        <v>179</v>
      </c>
      <c r="B27" s="93">
        <v>20</v>
      </c>
      <c r="C27" s="94" t="s">
        <v>180</v>
      </c>
      <c r="D27" s="93" t="s">
        <v>46</v>
      </c>
      <c r="E27" s="94" t="s">
        <v>181</v>
      </c>
      <c r="F27" s="94" t="s">
        <v>182</v>
      </c>
      <c r="G27" s="94" t="s">
        <v>183</v>
      </c>
      <c r="H27" s="4" t="s">
        <v>21</v>
      </c>
      <c r="I27" s="4">
        <f t="shared" si="0"/>
        <v>2</v>
      </c>
      <c r="J27" s="4" t="s">
        <v>2</v>
      </c>
      <c r="K27" s="4">
        <f t="shared" si="3"/>
        <v>3</v>
      </c>
      <c r="L27" s="4">
        <f t="shared" si="4"/>
        <v>6</v>
      </c>
      <c r="M27" s="5" t="s">
        <v>132</v>
      </c>
      <c r="N27" s="4" t="s">
        <v>133</v>
      </c>
      <c r="O27" s="94" t="s">
        <v>239</v>
      </c>
      <c r="P27" s="93" t="s">
        <v>148</v>
      </c>
    </row>
    <row r="28" spans="1:16" ht="45" x14ac:dyDescent="0.2">
      <c r="A28" s="93" t="s">
        <v>184</v>
      </c>
      <c r="B28" s="93">
        <v>21</v>
      </c>
      <c r="C28" s="94" t="s">
        <v>185</v>
      </c>
      <c r="D28" s="93" t="s">
        <v>121</v>
      </c>
      <c r="E28" s="94" t="s">
        <v>186</v>
      </c>
      <c r="F28" s="94" t="s">
        <v>187</v>
      </c>
      <c r="G28" s="94" t="s">
        <v>188</v>
      </c>
      <c r="H28" s="4" t="s">
        <v>22</v>
      </c>
      <c r="I28" s="4">
        <f t="shared" si="0"/>
        <v>3</v>
      </c>
      <c r="J28" s="4" t="s">
        <v>19</v>
      </c>
      <c r="K28" s="4">
        <f t="shared" si="3"/>
        <v>2</v>
      </c>
      <c r="L28" s="4">
        <f t="shared" si="4"/>
        <v>6</v>
      </c>
      <c r="M28" s="5" t="s">
        <v>131</v>
      </c>
      <c r="N28" s="4" t="s">
        <v>51</v>
      </c>
      <c r="O28" s="94" t="s">
        <v>240</v>
      </c>
      <c r="P28" s="93" t="s">
        <v>148</v>
      </c>
    </row>
    <row r="29" spans="1:16" ht="30" x14ac:dyDescent="0.2">
      <c r="A29" s="93" t="s">
        <v>189</v>
      </c>
      <c r="B29" s="93">
        <v>22</v>
      </c>
      <c r="C29" s="94" t="s">
        <v>190</v>
      </c>
      <c r="D29" s="93" t="s">
        <v>50</v>
      </c>
      <c r="E29" s="94" t="s">
        <v>191</v>
      </c>
      <c r="F29" s="94" t="s">
        <v>192</v>
      </c>
      <c r="G29" s="94" t="s">
        <v>193</v>
      </c>
      <c r="H29" s="4" t="s">
        <v>21</v>
      </c>
      <c r="I29" s="4">
        <f t="shared" si="0"/>
        <v>2</v>
      </c>
      <c r="J29" s="4" t="s">
        <v>2</v>
      </c>
      <c r="K29" s="4">
        <f t="shared" si="3"/>
        <v>3</v>
      </c>
      <c r="L29" s="4">
        <f t="shared" si="4"/>
        <v>6</v>
      </c>
      <c r="M29" s="5" t="s">
        <v>132</v>
      </c>
      <c r="N29" s="4" t="s">
        <v>51</v>
      </c>
      <c r="O29" s="94" t="s">
        <v>241</v>
      </c>
      <c r="P29" s="93" t="s">
        <v>148</v>
      </c>
    </row>
    <row r="30" spans="1:16" ht="30" x14ac:dyDescent="0.2">
      <c r="A30" s="93" t="s">
        <v>194</v>
      </c>
      <c r="B30" s="93">
        <v>23</v>
      </c>
      <c r="C30" s="94" t="s">
        <v>195</v>
      </c>
      <c r="D30" s="93" t="s">
        <v>50</v>
      </c>
      <c r="E30" s="94" t="s">
        <v>196</v>
      </c>
      <c r="F30" s="94" t="s">
        <v>197</v>
      </c>
      <c r="G30" s="94" t="s">
        <v>198</v>
      </c>
      <c r="H30" s="4" t="s">
        <v>21</v>
      </c>
      <c r="I30" s="4">
        <f t="shared" si="0"/>
        <v>2</v>
      </c>
      <c r="J30" s="4" t="s">
        <v>19</v>
      </c>
      <c r="K30" s="4">
        <f t="shared" si="3"/>
        <v>2</v>
      </c>
      <c r="L30" s="4">
        <f t="shared" si="4"/>
        <v>4</v>
      </c>
      <c r="M30" s="5" t="s">
        <v>132</v>
      </c>
      <c r="N30" s="4" t="s">
        <v>51</v>
      </c>
      <c r="O30" s="94" t="s">
        <v>242</v>
      </c>
      <c r="P30" s="93" t="s">
        <v>243</v>
      </c>
    </row>
    <row r="31" spans="1:16" ht="30" x14ac:dyDescent="0.2">
      <c r="A31" s="93" t="s">
        <v>199</v>
      </c>
      <c r="B31" s="93">
        <v>24</v>
      </c>
      <c r="C31" s="94" t="s">
        <v>200</v>
      </c>
      <c r="D31" s="93" t="s">
        <v>46</v>
      </c>
      <c r="E31" s="94" t="s">
        <v>201</v>
      </c>
      <c r="F31" s="94" t="s">
        <v>202</v>
      </c>
      <c r="G31" s="94" t="s">
        <v>203</v>
      </c>
      <c r="H31" s="4" t="s">
        <v>21</v>
      </c>
      <c r="I31" s="4">
        <f t="shared" si="0"/>
        <v>2</v>
      </c>
      <c r="J31" s="4" t="s">
        <v>19</v>
      </c>
      <c r="K31" s="4">
        <f t="shared" si="3"/>
        <v>2</v>
      </c>
      <c r="L31" s="4">
        <f t="shared" si="4"/>
        <v>4</v>
      </c>
      <c r="M31" s="5" t="s">
        <v>130</v>
      </c>
      <c r="N31" s="4" t="s">
        <v>133</v>
      </c>
      <c r="O31" s="94" t="s">
        <v>244</v>
      </c>
      <c r="P31" s="93" t="s">
        <v>148</v>
      </c>
    </row>
    <row r="32" spans="1:16" ht="30" x14ac:dyDescent="0.2">
      <c r="A32" s="93" t="s">
        <v>204</v>
      </c>
      <c r="B32" s="93">
        <v>25</v>
      </c>
      <c r="C32" s="94" t="s">
        <v>205</v>
      </c>
      <c r="D32" s="93" t="s">
        <v>95</v>
      </c>
      <c r="E32" s="94" t="s">
        <v>206</v>
      </c>
      <c r="F32" s="94" t="s">
        <v>207</v>
      </c>
      <c r="G32" s="94" t="s">
        <v>208</v>
      </c>
      <c r="H32" s="4" t="s">
        <v>22</v>
      </c>
      <c r="I32" s="4">
        <f t="shared" si="0"/>
        <v>3</v>
      </c>
      <c r="J32" s="4" t="s">
        <v>2</v>
      </c>
      <c r="K32" s="4">
        <f t="shared" si="3"/>
        <v>3</v>
      </c>
      <c r="L32" s="4">
        <f t="shared" si="4"/>
        <v>9</v>
      </c>
      <c r="M32" s="5" t="s">
        <v>132</v>
      </c>
      <c r="N32" s="4" t="s">
        <v>51</v>
      </c>
      <c r="O32" s="94" t="s">
        <v>245</v>
      </c>
      <c r="P32" s="93" t="s">
        <v>148</v>
      </c>
    </row>
    <row r="33" spans="1:16" ht="30" x14ac:dyDescent="0.2">
      <c r="A33" s="93" t="s">
        <v>209</v>
      </c>
      <c r="B33" s="93">
        <v>26</v>
      </c>
      <c r="C33" s="94" t="s">
        <v>210</v>
      </c>
      <c r="D33" s="93" t="s">
        <v>50</v>
      </c>
      <c r="E33" s="94" t="s">
        <v>211</v>
      </c>
      <c r="F33" s="94" t="s">
        <v>212</v>
      </c>
      <c r="G33" s="94" t="s">
        <v>213</v>
      </c>
      <c r="H33" s="4" t="s">
        <v>21</v>
      </c>
      <c r="I33" s="4">
        <f t="shared" si="0"/>
        <v>2</v>
      </c>
      <c r="J33" s="4" t="s">
        <v>2</v>
      </c>
      <c r="K33" s="4">
        <f t="shared" si="3"/>
        <v>3</v>
      </c>
      <c r="L33" s="4">
        <f t="shared" si="4"/>
        <v>6</v>
      </c>
      <c r="M33" s="5" t="s">
        <v>132</v>
      </c>
      <c r="N33" s="4" t="s">
        <v>51</v>
      </c>
      <c r="O33" s="94" t="s">
        <v>246</v>
      </c>
      <c r="P33" s="93" t="s">
        <v>148</v>
      </c>
    </row>
    <row r="34" spans="1:16" ht="30" x14ac:dyDescent="0.2">
      <c r="A34" s="93" t="s">
        <v>214</v>
      </c>
      <c r="B34" s="93">
        <v>27</v>
      </c>
      <c r="C34" s="94" t="s">
        <v>215</v>
      </c>
      <c r="D34" s="93" t="s">
        <v>50</v>
      </c>
      <c r="E34" s="94" t="s">
        <v>216</v>
      </c>
      <c r="F34" s="94" t="s">
        <v>217</v>
      </c>
      <c r="G34" s="94" t="s">
        <v>218</v>
      </c>
      <c r="H34" s="4" t="s">
        <v>21</v>
      </c>
      <c r="I34" s="4">
        <f t="shared" si="0"/>
        <v>2</v>
      </c>
      <c r="J34" s="4" t="s">
        <v>2</v>
      </c>
      <c r="K34" s="4">
        <f t="shared" si="3"/>
        <v>3</v>
      </c>
      <c r="L34" s="4">
        <f t="shared" si="4"/>
        <v>6</v>
      </c>
      <c r="M34" s="5" t="s">
        <v>132</v>
      </c>
      <c r="N34" s="4" t="s">
        <v>51</v>
      </c>
      <c r="O34" s="94" t="s">
        <v>247</v>
      </c>
      <c r="P34" s="93" t="s">
        <v>235</v>
      </c>
    </row>
    <row r="35" spans="1:16" ht="45" x14ac:dyDescent="0.2">
      <c r="A35" s="93" t="s">
        <v>219</v>
      </c>
      <c r="B35" s="93">
        <v>28</v>
      </c>
      <c r="C35" s="94" t="s">
        <v>220</v>
      </c>
      <c r="D35" s="93" t="s">
        <v>121</v>
      </c>
      <c r="E35" s="94" t="s">
        <v>221</v>
      </c>
      <c r="F35" s="94" t="s">
        <v>222</v>
      </c>
      <c r="G35" s="94" t="s">
        <v>223</v>
      </c>
      <c r="H35" s="4" t="s">
        <v>21</v>
      </c>
      <c r="I35" s="4">
        <f t="shared" si="0"/>
        <v>2</v>
      </c>
      <c r="J35" s="4" t="s">
        <v>19</v>
      </c>
      <c r="K35" s="4">
        <f t="shared" si="3"/>
        <v>2</v>
      </c>
      <c r="L35" s="4">
        <f t="shared" si="4"/>
        <v>4</v>
      </c>
      <c r="M35" s="5" t="s">
        <v>132</v>
      </c>
      <c r="N35" s="4" t="s">
        <v>51</v>
      </c>
      <c r="O35" s="94" t="s">
        <v>248</v>
      </c>
      <c r="P35" s="93" t="s">
        <v>243</v>
      </c>
    </row>
    <row r="36" spans="1:16" ht="30" x14ac:dyDescent="0.2">
      <c r="A36" s="93" t="s">
        <v>224</v>
      </c>
      <c r="B36" s="93">
        <v>29</v>
      </c>
      <c r="C36" s="94" t="s">
        <v>225</v>
      </c>
      <c r="D36" s="93" t="s">
        <v>46</v>
      </c>
      <c r="E36" s="94" t="s">
        <v>226</v>
      </c>
      <c r="F36" s="94" t="s">
        <v>227</v>
      </c>
      <c r="G36" s="94" t="s">
        <v>228</v>
      </c>
      <c r="H36" s="4" t="s">
        <v>22</v>
      </c>
      <c r="I36" s="4">
        <f t="shared" si="0"/>
        <v>3</v>
      </c>
      <c r="J36" s="4" t="s">
        <v>2</v>
      </c>
      <c r="K36" s="4">
        <f t="shared" si="3"/>
        <v>3</v>
      </c>
      <c r="L36" s="4">
        <f t="shared" si="4"/>
        <v>9</v>
      </c>
      <c r="M36" s="5" t="s">
        <v>131</v>
      </c>
      <c r="N36" s="4" t="s">
        <v>134</v>
      </c>
      <c r="O36" s="94" t="s">
        <v>249</v>
      </c>
      <c r="P36" s="93" t="s">
        <v>148</v>
      </c>
    </row>
    <row r="37" spans="1:16" ht="30" x14ac:dyDescent="0.2">
      <c r="A37" s="93" t="s">
        <v>229</v>
      </c>
      <c r="B37" s="93">
        <v>30</v>
      </c>
      <c r="C37" s="94" t="s">
        <v>230</v>
      </c>
      <c r="D37" s="93" t="s">
        <v>95</v>
      </c>
      <c r="E37" s="94" t="s">
        <v>231</v>
      </c>
      <c r="F37" s="94" t="s">
        <v>232</v>
      </c>
      <c r="G37" s="94" t="s">
        <v>233</v>
      </c>
      <c r="H37" s="4" t="s">
        <v>21</v>
      </c>
      <c r="I37" s="4">
        <f t="shared" si="0"/>
        <v>2</v>
      </c>
      <c r="J37" s="4" t="s">
        <v>2</v>
      </c>
      <c r="K37" s="4">
        <f t="shared" si="3"/>
        <v>3</v>
      </c>
      <c r="L37" s="4">
        <f t="shared" si="4"/>
        <v>6</v>
      </c>
      <c r="M37" s="5" t="s">
        <v>130</v>
      </c>
      <c r="N37" s="4" t="s">
        <v>51</v>
      </c>
      <c r="O37" s="94" t="s">
        <v>250</v>
      </c>
      <c r="P37" s="93" t="s">
        <v>148</v>
      </c>
    </row>
    <row r="38" spans="1:16" x14ac:dyDescent="0.2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</row>
    <row r="39" spans="1:16" x14ac:dyDescent="0.2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</row>
    <row r="40" spans="1:16" x14ac:dyDescent="0.2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</row>
    <row r="41" spans="1:16" x14ac:dyDescent="0.2">
      <c r="A41" s="58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</row>
    <row r="42" spans="1:16" x14ac:dyDescent="0.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</row>
    <row r="43" spans="1:16" x14ac:dyDescent="0.2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</row>
    <row r="44" spans="1:16" x14ac:dyDescent="0.2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</row>
    <row r="45" spans="1:16" x14ac:dyDescent="0.2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</row>
    <row r="46" spans="1:16" x14ac:dyDescent="0.2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</row>
    <row r="47" spans="1:16" x14ac:dyDescent="0.2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</row>
    <row r="48" spans="1:16" x14ac:dyDescent="0.2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</row>
    <row r="49" spans="1:16" x14ac:dyDescent="0.2">
      <c r="A49" s="58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</row>
    <row r="50" spans="1:16" x14ac:dyDescent="0.2">
      <c r="A50" s="58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</row>
    <row r="51" spans="1:16" x14ac:dyDescent="0.2">
      <c r="A51" s="58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</row>
    <row r="52" spans="1:16" x14ac:dyDescent="0.2">
      <c r="A52" s="58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</row>
    <row r="53" spans="1:16" x14ac:dyDescent="0.2">
      <c r="A53" s="58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</row>
    <row r="54" spans="1:16" x14ac:dyDescent="0.2">
      <c r="A54" s="58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</row>
    <row r="55" spans="1:16" x14ac:dyDescent="0.2">
      <c r="A55" s="58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</row>
    <row r="56" spans="1:16" x14ac:dyDescent="0.2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</row>
    <row r="57" spans="1:16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</row>
    <row r="58" spans="1:16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</row>
    <row r="59" spans="1:16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</row>
    <row r="60" spans="1:16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</row>
    <row r="61" spans="1:16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</row>
    <row r="62" spans="1:16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</row>
    <row r="63" spans="1:16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</row>
    <row r="64" spans="1:16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</row>
    <row r="65" spans="1:16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</row>
    <row r="66" spans="1:16" x14ac:dyDescent="0.2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</row>
    <row r="67" spans="1:16" x14ac:dyDescent="0.2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</row>
    <row r="68" spans="1:16" x14ac:dyDescent="0.2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</row>
    <row r="69" spans="1:16" x14ac:dyDescent="0.2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</row>
    <row r="70" spans="1:16" x14ac:dyDescent="0.2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</row>
    <row r="71" spans="1:16" x14ac:dyDescent="0.2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</row>
    <row r="72" spans="1:16" x14ac:dyDescent="0.2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</row>
    <row r="73" spans="1:16" x14ac:dyDescent="0.2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</row>
    <row r="74" spans="1:16" x14ac:dyDescent="0.2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</row>
    <row r="75" spans="1:16" x14ac:dyDescent="0.2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</row>
    <row r="76" spans="1:16" x14ac:dyDescent="0.2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</row>
    <row r="77" spans="1:16" x14ac:dyDescent="0.2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</row>
    <row r="78" spans="1:16" x14ac:dyDescent="0.2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</row>
    <row r="79" spans="1:16" x14ac:dyDescent="0.2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</row>
    <row r="80" spans="1:16" x14ac:dyDescent="0.2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</row>
    <row r="81" spans="1:16" x14ac:dyDescent="0.2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</row>
    <row r="82" spans="1:16" x14ac:dyDescent="0.2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</row>
    <row r="83" spans="1:16" x14ac:dyDescent="0.2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</row>
    <row r="84" spans="1:16" x14ac:dyDescent="0.2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</row>
    <row r="85" spans="1:16" x14ac:dyDescent="0.2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</row>
    <row r="86" spans="1:16" x14ac:dyDescent="0.2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</row>
    <row r="87" spans="1:16" x14ac:dyDescent="0.2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</row>
    <row r="88" spans="1:16" x14ac:dyDescent="0.2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</row>
    <row r="89" spans="1:16" x14ac:dyDescent="0.2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</row>
    <row r="90" spans="1:16" x14ac:dyDescent="0.2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</row>
    <row r="91" spans="1:16" x14ac:dyDescent="0.2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</row>
    <row r="92" spans="1:16" x14ac:dyDescent="0.2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</row>
    <row r="93" spans="1:16" x14ac:dyDescent="0.2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</row>
    <row r="94" spans="1:16" x14ac:dyDescent="0.2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</row>
    <row r="95" spans="1:16" x14ac:dyDescent="0.2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</row>
    <row r="96" spans="1:16" x14ac:dyDescent="0.2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</row>
    <row r="97" spans="1:16" x14ac:dyDescent="0.2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</row>
    <row r="98" spans="1:16" x14ac:dyDescent="0.2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</row>
    <row r="99" spans="1:16" x14ac:dyDescent="0.2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</row>
    <row r="100" spans="1:16" x14ac:dyDescent="0.2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</row>
    <row r="101" spans="1:16" x14ac:dyDescent="0.2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</row>
    <row r="102" spans="1:16" x14ac:dyDescent="0.2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</row>
    <row r="103" spans="1:16" x14ac:dyDescent="0.2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</row>
    <row r="104" spans="1:16" x14ac:dyDescent="0.2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</row>
    <row r="105" spans="1:16" x14ac:dyDescent="0.2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</row>
    <row r="106" spans="1:16" x14ac:dyDescent="0.2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</row>
    <row r="107" spans="1:16" x14ac:dyDescent="0.2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</row>
    <row r="108" spans="1:16" x14ac:dyDescent="0.2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</row>
    <row r="109" spans="1:16" x14ac:dyDescent="0.2">
      <c r="A109" s="58"/>
      <c r="B109" s="59"/>
      <c r="C109" s="60"/>
      <c r="D109" s="60"/>
      <c r="E109" s="60"/>
      <c r="F109" s="61"/>
      <c r="G109" s="61"/>
      <c r="H109" s="61"/>
      <c r="I109" s="61"/>
      <c r="J109" s="61"/>
      <c r="K109" s="61"/>
      <c r="L109" s="61"/>
      <c r="M109" s="59"/>
      <c r="N109" s="61"/>
      <c r="O109" s="60"/>
      <c r="P109" s="2"/>
    </row>
    <row r="110" spans="1:16" x14ac:dyDescent="0.2">
      <c r="A110" s="58"/>
      <c r="B110" s="59"/>
      <c r="C110" s="60"/>
      <c r="D110" s="60"/>
      <c r="E110" s="60"/>
      <c r="F110" s="61"/>
      <c r="G110" s="61"/>
      <c r="H110" s="61"/>
      <c r="I110" s="61"/>
      <c r="J110" s="61"/>
      <c r="K110" s="61"/>
      <c r="L110" s="61"/>
      <c r="M110" s="59"/>
      <c r="N110" s="61"/>
      <c r="O110" s="60"/>
      <c r="P110" s="2"/>
    </row>
    <row r="111" spans="1:16" x14ac:dyDescent="0.2">
      <c r="A111" s="58"/>
      <c r="B111" s="59"/>
      <c r="C111" s="60"/>
      <c r="D111" s="60"/>
      <c r="E111" s="60"/>
      <c r="F111" s="61"/>
      <c r="G111" s="61"/>
      <c r="H111" s="61"/>
      <c r="I111" s="61"/>
      <c r="J111" s="61"/>
      <c r="K111" s="61"/>
      <c r="L111" s="61"/>
      <c r="M111" s="59"/>
      <c r="N111" s="61"/>
      <c r="O111" s="60"/>
      <c r="P111" s="2"/>
    </row>
    <row r="112" spans="1:16" x14ac:dyDescent="0.2">
      <c r="A112" s="58"/>
      <c r="B112" s="59"/>
      <c r="C112" s="60"/>
      <c r="D112" s="60"/>
      <c r="E112" s="60"/>
      <c r="F112" s="61"/>
      <c r="G112" s="61"/>
      <c r="H112" s="61"/>
      <c r="I112" s="61"/>
      <c r="J112" s="61"/>
      <c r="K112" s="61"/>
      <c r="L112" s="61"/>
      <c r="M112" s="59"/>
      <c r="N112" s="61"/>
      <c r="O112" s="60"/>
      <c r="P112" s="2"/>
    </row>
    <row r="113" spans="1:16" x14ac:dyDescent="0.2">
      <c r="A113" s="58"/>
      <c r="B113" s="59"/>
      <c r="C113" s="60"/>
      <c r="D113" s="60"/>
      <c r="E113" s="60"/>
      <c r="F113" s="61"/>
      <c r="G113" s="61"/>
      <c r="H113" s="61"/>
      <c r="I113" s="61"/>
      <c r="J113" s="61"/>
      <c r="K113" s="61"/>
      <c r="L113" s="61"/>
      <c r="M113" s="59"/>
      <c r="N113" s="61"/>
      <c r="O113" s="60"/>
      <c r="P113" s="2"/>
    </row>
    <row r="114" spans="1:16" x14ac:dyDescent="0.2">
      <c r="A114" s="58"/>
      <c r="B114" s="59"/>
      <c r="C114" s="60"/>
      <c r="D114" s="60"/>
      <c r="E114" s="60"/>
      <c r="F114" s="61"/>
      <c r="G114" s="61"/>
      <c r="H114" s="61"/>
      <c r="I114" s="61"/>
      <c r="J114" s="61"/>
      <c r="K114" s="61"/>
      <c r="L114" s="61"/>
      <c r="M114" s="59"/>
      <c r="N114" s="61"/>
      <c r="O114" s="60"/>
      <c r="P114" s="2"/>
    </row>
    <row r="115" spans="1:16" x14ac:dyDescent="0.2">
      <c r="A115" s="58"/>
      <c r="B115" s="59"/>
      <c r="C115" s="60"/>
      <c r="D115" s="60"/>
      <c r="E115" s="60"/>
      <c r="F115" s="61"/>
      <c r="G115" s="61"/>
      <c r="H115" s="61"/>
      <c r="I115" s="61"/>
      <c r="J115" s="61"/>
      <c r="K115" s="61"/>
      <c r="L115" s="61"/>
      <c r="M115" s="59"/>
      <c r="N115" s="61"/>
      <c r="O115" s="60"/>
      <c r="P115" s="2"/>
    </row>
    <row r="116" spans="1:16" x14ac:dyDescent="0.2">
      <c r="A116" s="58"/>
      <c r="B116" s="59"/>
      <c r="C116" s="60"/>
      <c r="D116" s="60"/>
      <c r="E116" s="60"/>
      <c r="F116" s="61"/>
      <c r="G116" s="61"/>
      <c r="H116" s="61"/>
      <c r="I116" s="61"/>
      <c r="J116" s="61"/>
      <c r="K116" s="61"/>
      <c r="L116" s="61"/>
      <c r="M116" s="59"/>
      <c r="N116" s="61"/>
      <c r="O116" s="60"/>
      <c r="P116" s="2"/>
    </row>
    <row r="117" spans="1:16" x14ac:dyDescent="0.2">
      <c r="A117" s="58"/>
      <c r="B117" s="59"/>
      <c r="C117" s="60"/>
      <c r="D117" s="60"/>
      <c r="E117" s="60"/>
      <c r="F117" s="61"/>
      <c r="G117" s="61"/>
      <c r="H117" s="61"/>
      <c r="I117" s="61"/>
      <c r="J117" s="61"/>
      <c r="K117" s="61"/>
      <c r="L117" s="61"/>
      <c r="M117" s="59"/>
      <c r="N117" s="61"/>
      <c r="O117" s="60"/>
      <c r="P117" s="2"/>
    </row>
    <row r="118" spans="1:16" x14ac:dyDescent="0.2">
      <c r="A118" s="58"/>
      <c r="B118" s="59"/>
      <c r="C118" s="60"/>
      <c r="D118" s="60"/>
      <c r="E118" s="60"/>
      <c r="F118" s="61"/>
      <c r="G118" s="61"/>
      <c r="H118" s="61"/>
      <c r="I118" s="61"/>
      <c r="J118" s="61"/>
      <c r="K118" s="61"/>
      <c r="L118" s="61"/>
      <c r="M118" s="59"/>
      <c r="N118" s="61"/>
      <c r="O118" s="60"/>
      <c r="P118" s="2"/>
    </row>
    <row r="119" spans="1:16" x14ac:dyDescent="0.2">
      <c r="A119" s="58"/>
      <c r="B119" s="59"/>
      <c r="C119" s="60"/>
      <c r="D119" s="60"/>
      <c r="E119" s="60"/>
      <c r="F119" s="61"/>
      <c r="G119" s="61"/>
      <c r="H119" s="61"/>
      <c r="I119" s="61"/>
      <c r="J119" s="61"/>
      <c r="K119" s="61"/>
      <c r="L119" s="61"/>
      <c r="M119" s="59"/>
      <c r="N119" s="61"/>
      <c r="O119" s="60"/>
      <c r="P119" s="2"/>
    </row>
    <row r="120" spans="1:16" x14ac:dyDescent="0.2">
      <c r="A120" s="58"/>
      <c r="B120" s="59"/>
      <c r="C120" s="60"/>
      <c r="D120" s="60"/>
      <c r="E120" s="60"/>
      <c r="F120" s="61"/>
      <c r="G120" s="61"/>
      <c r="H120" s="61"/>
      <c r="I120" s="61"/>
      <c r="J120" s="61"/>
      <c r="K120" s="61"/>
      <c r="L120" s="61"/>
      <c r="M120" s="59"/>
      <c r="N120" s="61"/>
      <c r="O120" s="60"/>
      <c r="P120" s="2"/>
    </row>
    <row r="121" spans="1:16" x14ac:dyDescent="0.2">
      <c r="A121" s="58"/>
      <c r="B121" s="59"/>
      <c r="C121" s="60"/>
      <c r="D121" s="60"/>
      <c r="E121" s="60"/>
      <c r="F121" s="61"/>
      <c r="G121" s="61"/>
      <c r="H121" s="61"/>
      <c r="I121" s="61"/>
      <c r="J121" s="61"/>
      <c r="K121" s="61"/>
      <c r="L121" s="61"/>
      <c r="M121" s="59"/>
      <c r="N121" s="61"/>
      <c r="O121" s="60"/>
      <c r="P121" s="2"/>
    </row>
    <row r="122" spans="1:16" x14ac:dyDescent="0.2">
      <c r="A122" s="58"/>
      <c r="B122" s="59"/>
      <c r="C122" s="60"/>
      <c r="D122" s="60"/>
      <c r="E122" s="60"/>
      <c r="F122" s="61"/>
      <c r="G122" s="61"/>
      <c r="H122" s="61"/>
      <c r="I122" s="61"/>
      <c r="J122" s="61"/>
      <c r="K122" s="61"/>
      <c r="L122" s="61"/>
      <c r="M122" s="59"/>
      <c r="N122" s="61"/>
      <c r="O122" s="60"/>
      <c r="P122" s="2"/>
    </row>
    <row r="123" spans="1:16" x14ac:dyDescent="0.2">
      <c r="A123" s="58"/>
      <c r="B123" s="59"/>
      <c r="C123" s="60"/>
      <c r="D123" s="60"/>
      <c r="E123" s="60"/>
      <c r="F123" s="61"/>
      <c r="G123" s="61"/>
      <c r="H123" s="61"/>
      <c r="I123" s="61"/>
      <c r="J123" s="61"/>
      <c r="K123" s="61"/>
      <c r="L123" s="61"/>
      <c r="M123" s="59"/>
      <c r="N123" s="61"/>
      <c r="O123" s="60"/>
      <c r="P123" s="2"/>
    </row>
    <row r="124" spans="1:16" x14ac:dyDescent="0.2">
      <c r="A124" s="60"/>
      <c r="B124" s="59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</row>
    <row r="125" spans="1:16" x14ac:dyDescent="0.2">
      <c r="A125" s="2"/>
      <c r="B125" s="56"/>
      <c r="C125" s="2"/>
      <c r="D125" s="2"/>
      <c r="E125" s="2"/>
      <c r="F125" s="6"/>
      <c r="G125" s="6"/>
      <c r="H125" s="2"/>
      <c r="I125" s="2"/>
      <c r="J125" s="2"/>
      <c r="K125" s="2"/>
      <c r="L125" s="2"/>
      <c r="M125" s="2"/>
      <c r="N125" s="2"/>
    </row>
    <row r="126" spans="1:16" x14ac:dyDescent="0.2">
      <c r="A126" s="2"/>
      <c r="B126" s="56"/>
      <c r="C126" s="2"/>
      <c r="D126" s="2"/>
      <c r="E126" s="2"/>
      <c r="F126" s="6"/>
      <c r="G126" s="6"/>
      <c r="H126" s="2"/>
      <c r="I126" s="2"/>
      <c r="J126" s="2"/>
      <c r="K126" s="2"/>
      <c r="L126" s="2"/>
      <c r="M126" s="2"/>
      <c r="N126" s="2"/>
    </row>
    <row r="127" spans="1:16" x14ac:dyDescent="0.2">
      <c r="A127" s="2"/>
      <c r="B127" s="56"/>
      <c r="C127" s="2"/>
      <c r="D127" s="2"/>
      <c r="E127" s="2"/>
      <c r="F127" s="6"/>
      <c r="G127" s="6"/>
      <c r="H127" s="2"/>
      <c r="I127" s="2"/>
      <c r="J127" s="2"/>
      <c r="K127" s="2"/>
      <c r="L127" s="2"/>
      <c r="M127" s="2"/>
      <c r="N127" s="2"/>
    </row>
    <row r="128" spans="1:16" x14ac:dyDescent="0.2">
      <c r="A128" s="2"/>
      <c r="B128" s="56"/>
      <c r="C128" s="2"/>
      <c r="D128" s="2"/>
      <c r="E128" s="2"/>
      <c r="F128" s="6"/>
      <c r="G128" s="6"/>
      <c r="H128" s="2"/>
      <c r="I128" s="2"/>
      <c r="J128" s="2"/>
      <c r="K128" s="2"/>
      <c r="L128" s="2"/>
      <c r="M128" s="2"/>
      <c r="N128" s="2"/>
    </row>
    <row r="129" spans="1:14" x14ac:dyDescent="0.2">
      <c r="A129" s="2"/>
      <c r="B129" s="56"/>
      <c r="C129" s="2"/>
      <c r="D129" s="2"/>
      <c r="E129" s="2"/>
      <c r="F129" s="6"/>
      <c r="G129" s="6"/>
      <c r="H129" s="2"/>
      <c r="I129" s="2"/>
      <c r="J129" s="2"/>
      <c r="K129" s="2"/>
      <c r="L129" s="2"/>
      <c r="M129" s="2"/>
      <c r="N129" s="2"/>
    </row>
    <row r="130" spans="1:14" x14ac:dyDescent="0.2">
      <c r="A130" s="2"/>
      <c r="B130" s="56"/>
      <c r="C130" s="2"/>
      <c r="D130" s="2"/>
      <c r="E130" s="2"/>
      <c r="F130" s="6"/>
      <c r="G130" s="6"/>
      <c r="H130" s="2"/>
      <c r="I130" s="2"/>
      <c r="J130" s="2"/>
      <c r="K130" s="2"/>
      <c r="L130" s="2"/>
      <c r="M130" s="2"/>
      <c r="N130" s="2"/>
    </row>
    <row r="131" spans="1:14" x14ac:dyDescent="0.2">
      <c r="A131" s="2"/>
      <c r="B131" s="56"/>
      <c r="C131" s="2"/>
      <c r="D131" s="2"/>
      <c r="E131" s="2"/>
      <c r="F131" s="6"/>
      <c r="G131" s="6"/>
      <c r="H131" s="2"/>
      <c r="I131" s="2"/>
      <c r="J131" s="2"/>
      <c r="K131" s="2"/>
      <c r="L131" s="2"/>
      <c r="M131" s="2"/>
      <c r="N131" s="2"/>
    </row>
    <row r="132" spans="1:14" x14ac:dyDescent="0.2">
      <c r="A132" s="2"/>
      <c r="B132" s="56"/>
      <c r="C132" s="2"/>
      <c r="D132" s="2"/>
      <c r="E132" s="2"/>
      <c r="F132" s="6"/>
      <c r="G132" s="6"/>
      <c r="H132" s="2"/>
      <c r="I132" s="2"/>
      <c r="J132" s="2"/>
      <c r="K132" s="2"/>
      <c r="L132" s="2"/>
      <c r="M132" s="2"/>
      <c r="N132" s="2"/>
    </row>
    <row r="133" spans="1:14" x14ac:dyDescent="0.2">
      <c r="A133" s="2"/>
      <c r="B133" s="56"/>
      <c r="C133" s="2"/>
      <c r="D133" s="2"/>
      <c r="E133" s="2"/>
      <c r="F133" s="6"/>
      <c r="G133" s="6"/>
      <c r="H133" s="2"/>
      <c r="I133" s="2"/>
      <c r="J133" s="2"/>
      <c r="K133" s="2"/>
      <c r="L133" s="2"/>
      <c r="M133" s="2"/>
      <c r="N133" s="2"/>
    </row>
    <row r="134" spans="1:14" x14ac:dyDescent="0.2">
      <c r="A134" s="2"/>
      <c r="B134" s="56"/>
      <c r="C134" s="2"/>
      <c r="D134" s="2"/>
      <c r="E134" s="2"/>
      <c r="F134" s="6"/>
      <c r="G134" s="6"/>
      <c r="H134" s="2"/>
      <c r="I134" s="2"/>
      <c r="J134" s="2"/>
      <c r="K134" s="2"/>
      <c r="L134" s="2"/>
      <c r="M134" s="2"/>
      <c r="N134" s="2"/>
    </row>
    <row r="135" spans="1:14" x14ac:dyDescent="0.2">
      <c r="A135" s="2"/>
      <c r="B135" s="56"/>
      <c r="C135" s="2"/>
      <c r="D135" s="2"/>
      <c r="E135" s="2"/>
      <c r="F135" s="6"/>
      <c r="G135" s="6"/>
      <c r="H135" s="2"/>
      <c r="I135" s="2"/>
      <c r="J135" s="2"/>
      <c r="K135" s="2"/>
      <c r="L135" s="2"/>
      <c r="M135" s="2"/>
      <c r="N135" s="2"/>
    </row>
    <row r="136" spans="1:14" x14ac:dyDescent="0.2">
      <c r="A136" s="2"/>
      <c r="B136" s="56"/>
      <c r="C136" s="2"/>
      <c r="D136" s="2"/>
      <c r="E136" s="2"/>
      <c r="F136" s="6"/>
      <c r="G136" s="6"/>
      <c r="H136" s="2"/>
      <c r="I136" s="2"/>
      <c r="J136" s="2"/>
      <c r="K136" s="2"/>
      <c r="L136" s="2"/>
      <c r="M136" s="2"/>
      <c r="N136" s="2"/>
    </row>
    <row r="137" spans="1:14" x14ac:dyDescent="0.2">
      <c r="A137" s="2"/>
      <c r="B137" s="56"/>
      <c r="C137" s="2"/>
      <c r="D137" s="2"/>
      <c r="E137" s="2"/>
      <c r="F137" s="6"/>
      <c r="G137" s="6"/>
      <c r="H137" s="2"/>
      <c r="I137" s="2"/>
      <c r="J137" s="2"/>
      <c r="K137" s="2"/>
      <c r="L137" s="2"/>
      <c r="M137" s="2"/>
      <c r="N137" s="2"/>
    </row>
    <row r="138" spans="1:14" x14ac:dyDescent="0.2">
      <c r="A138" s="2"/>
      <c r="B138" s="56"/>
      <c r="C138" s="2"/>
      <c r="D138" s="2"/>
      <c r="E138" s="2"/>
      <c r="F138" s="6"/>
      <c r="G138" s="6"/>
      <c r="H138" s="2"/>
      <c r="I138" s="2"/>
      <c r="J138" s="2"/>
      <c r="K138" s="2"/>
      <c r="L138" s="2"/>
      <c r="M138" s="2"/>
      <c r="N138" s="2"/>
    </row>
    <row r="139" spans="1:14" x14ac:dyDescent="0.2">
      <c r="A139" s="2"/>
      <c r="B139" s="56"/>
      <c r="C139" s="2"/>
      <c r="D139" s="2"/>
      <c r="E139" s="2"/>
      <c r="F139" s="6"/>
      <c r="G139" s="6"/>
      <c r="H139" s="2"/>
      <c r="I139" s="2"/>
      <c r="J139" s="2"/>
      <c r="K139" s="2"/>
      <c r="L139" s="2"/>
      <c r="M139" s="2"/>
      <c r="N139" s="2"/>
    </row>
    <row r="140" spans="1:14" x14ac:dyDescent="0.2">
      <c r="A140" s="2"/>
      <c r="B140" s="56"/>
      <c r="C140" s="2"/>
      <c r="D140" s="2"/>
      <c r="E140" s="2"/>
      <c r="F140" s="6"/>
      <c r="G140" s="6"/>
      <c r="H140" s="2"/>
      <c r="I140" s="2"/>
      <c r="J140" s="2"/>
      <c r="K140" s="2"/>
      <c r="L140" s="2"/>
      <c r="M140" s="2"/>
      <c r="N140" s="2"/>
    </row>
    <row r="141" spans="1:14" x14ac:dyDescent="0.2">
      <c r="A141" s="2"/>
      <c r="B141" s="56"/>
      <c r="C141" s="2"/>
      <c r="D141" s="2"/>
      <c r="E141" s="2"/>
      <c r="F141" s="6"/>
      <c r="G141" s="6"/>
      <c r="H141" s="2"/>
      <c r="I141" s="2"/>
      <c r="J141" s="2"/>
      <c r="K141" s="2"/>
      <c r="L141" s="2"/>
      <c r="M141" s="2"/>
      <c r="N141" s="2"/>
    </row>
    <row r="142" spans="1:14" x14ac:dyDescent="0.2">
      <c r="A142" s="2"/>
      <c r="B142" s="56"/>
      <c r="C142" s="2"/>
      <c r="D142" s="2"/>
      <c r="E142" s="2"/>
      <c r="F142" s="6"/>
      <c r="G142" s="6"/>
      <c r="H142" s="2"/>
      <c r="I142" s="2"/>
      <c r="J142" s="2"/>
      <c r="K142" s="2"/>
      <c r="L142" s="2"/>
      <c r="M142" s="2"/>
      <c r="N142" s="2"/>
    </row>
    <row r="143" spans="1:14" x14ac:dyDescent="0.2">
      <c r="A143" s="2"/>
      <c r="B143" s="56"/>
      <c r="C143" s="2"/>
      <c r="D143" s="2"/>
      <c r="E143" s="2"/>
      <c r="F143" s="6"/>
      <c r="G143" s="6"/>
      <c r="H143" s="2"/>
      <c r="I143" s="2"/>
      <c r="J143" s="2"/>
      <c r="K143" s="2"/>
      <c r="L143" s="2"/>
      <c r="M143" s="2"/>
      <c r="N143" s="2"/>
    </row>
    <row r="144" spans="1:14" x14ac:dyDescent="0.2">
      <c r="A144" s="2"/>
      <c r="B144" s="56"/>
      <c r="C144" s="2"/>
      <c r="D144" s="2"/>
      <c r="E144" s="2"/>
      <c r="F144" s="6"/>
      <c r="G144" s="6"/>
      <c r="H144" s="2"/>
      <c r="I144" s="2"/>
      <c r="J144" s="2"/>
      <c r="K144" s="2"/>
      <c r="L144" s="2"/>
      <c r="M144" s="2"/>
      <c r="N144" s="2"/>
    </row>
    <row r="145" spans="1:14" x14ac:dyDescent="0.2">
      <c r="A145" s="2"/>
      <c r="B145" s="56"/>
      <c r="C145" s="2"/>
      <c r="D145" s="2"/>
      <c r="E145" s="2"/>
      <c r="F145" s="6"/>
      <c r="G145" s="6"/>
      <c r="H145" s="2"/>
      <c r="I145" s="2"/>
      <c r="J145" s="2"/>
      <c r="K145" s="2"/>
      <c r="L145" s="2"/>
      <c r="M145" s="2"/>
      <c r="N145" s="2"/>
    </row>
    <row r="146" spans="1:14" x14ac:dyDescent="0.2">
      <c r="A146" s="2"/>
      <c r="B146" s="56"/>
      <c r="C146" s="2"/>
      <c r="D146" s="2"/>
      <c r="E146" s="2"/>
      <c r="F146" s="6"/>
      <c r="G146" s="6"/>
      <c r="H146" s="2"/>
      <c r="I146" s="2"/>
      <c r="J146" s="2"/>
      <c r="K146" s="2"/>
      <c r="L146" s="2"/>
      <c r="M146" s="2"/>
      <c r="N146" s="2"/>
    </row>
    <row r="147" spans="1:14" x14ac:dyDescent="0.2">
      <c r="A147" s="2"/>
      <c r="B147" s="56"/>
      <c r="C147" s="2"/>
      <c r="D147" s="2"/>
      <c r="E147" s="2"/>
      <c r="F147" s="6"/>
      <c r="G147" s="6"/>
      <c r="H147" s="2"/>
      <c r="I147" s="2"/>
      <c r="J147" s="2"/>
      <c r="K147" s="2"/>
      <c r="L147" s="2"/>
      <c r="M147" s="2"/>
      <c r="N147" s="2"/>
    </row>
    <row r="148" spans="1:14" x14ac:dyDescent="0.2">
      <c r="A148" s="2"/>
      <c r="B148" s="56"/>
      <c r="C148" s="2"/>
      <c r="D148" s="2"/>
      <c r="E148" s="2"/>
      <c r="F148" s="6"/>
      <c r="G148" s="6"/>
      <c r="H148" s="2"/>
      <c r="I148" s="2"/>
      <c r="J148" s="2"/>
      <c r="K148" s="2"/>
      <c r="L148" s="2"/>
      <c r="M148" s="2"/>
      <c r="N148" s="2"/>
    </row>
    <row r="149" spans="1:14" x14ac:dyDescent="0.2">
      <c r="A149" s="2"/>
      <c r="B149" s="56"/>
      <c r="C149" s="2"/>
      <c r="D149" s="2"/>
      <c r="E149" s="2"/>
      <c r="F149" s="6"/>
      <c r="G149" s="6"/>
      <c r="H149" s="2"/>
      <c r="I149" s="2"/>
      <c r="J149" s="2"/>
      <c r="K149" s="2"/>
      <c r="L149" s="2"/>
      <c r="M149" s="2"/>
      <c r="N149" s="2"/>
    </row>
    <row r="150" spans="1:14" x14ac:dyDescent="0.2">
      <c r="A150" s="2"/>
      <c r="B150" s="56"/>
      <c r="C150" s="2"/>
      <c r="D150" s="2"/>
      <c r="E150" s="2"/>
      <c r="F150" s="6"/>
      <c r="G150" s="6"/>
      <c r="H150" s="2"/>
      <c r="I150" s="2"/>
      <c r="J150" s="2"/>
      <c r="K150" s="2"/>
      <c r="L150" s="2"/>
      <c r="M150" s="2"/>
      <c r="N150" s="2"/>
    </row>
    <row r="151" spans="1:14" x14ac:dyDescent="0.2">
      <c r="A151" s="2"/>
      <c r="B151" s="56"/>
      <c r="C151" s="2"/>
      <c r="D151" s="2"/>
      <c r="E151" s="2"/>
      <c r="F151" s="6"/>
      <c r="G151" s="6"/>
      <c r="H151" s="2"/>
      <c r="I151" s="2"/>
      <c r="J151" s="2"/>
      <c r="K151" s="2"/>
      <c r="L151" s="2"/>
      <c r="M151" s="2"/>
      <c r="N151" s="2"/>
    </row>
    <row r="152" spans="1:14" x14ac:dyDescent="0.2">
      <c r="A152" s="2"/>
      <c r="B152" s="56"/>
      <c r="C152" s="2"/>
      <c r="D152" s="2"/>
      <c r="E152" s="2"/>
      <c r="F152" s="6"/>
      <c r="G152" s="6"/>
      <c r="H152" s="2"/>
      <c r="I152" s="2"/>
      <c r="J152" s="2"/>
      <c r="K152" s="2"/>
      <c r="L152" s="2"/>
      <c r="M152" s="2"/>
      <c r="N152" s="2"/>
    </row>
    <row r="153" spans="1:14" x14ac:dyDescent="0.2">
      <c r="A153" s="2"/>
      <c r="B153" s="56"/>
      <c r="C153" s="2"/>
      <c r="D153" s="2"/>
      <c r="E153" s="2"/>
      <c r="F153" s="6"/>
      <c r="G153" s="6"/>
      <c r="H153" s="2"/>
      <c r="I153" s="2"/>
      <c r="J153" s="2"/>
      <c r="K153" s="2"/>
      <c r="L153" s="2"/>
      <c r="M153" s="2"/>
      <c r="N153" s="2"/>
    </row>
    <row r="154" spans="1:14" x14ac:dyDescent="0.2">
      <c r="A154" s="2"/>
      <c r="B154" s="56"/>
      <c r="C154" s="2"/>
      <c r="D154" s="2"/>
      <c r="E154" s="2"/>
      <c r="F154" s="6"/>
      <c r="G154" s="6"/>
      <c r="H154" s="2"/>
      <c r="I154" s="2"/>
      <c r="J154" s="2"/>
      <c r="K154" s="2"/>
      <c r="L154" s="2"/>
      <c r="M154" s="2"/>
      <c r="N154" s="2"/>
    </row>
    <row r="155" spans="1:14" x14ac:dyDescent="0.2">
      <c r="A155" s="2"/>
      <c r="B155" s="56"/>
      <c r="C155" s="2"/>
      <c r="D155" s="2"/>
      <c r="E155" s="2"/>
      <c r="F155" s="6"/>
      <c r="G155" s="6"/>
      <c r="H155" s="2"/>
      <c r="I155" s="2"/>
      <c r="J155" s="2"/>
      <c r="K155" s="2"/>
      <c r="L155" s="2"/>
      <c r="M155" s="2"/>
      <c r="N155" s="2"/>
    </row>
    <row r="156" spans="1:14" x14ac:dyDescent="0.2">
      <c r="A156" s="2"/>
      <c r="B156" s="56"/>
      <c r="C156" s="2"/>
      <c r="D156" s="2"/>
      <c r="E156" s="2"/>
      <c r="F156" s="6"/>
      <c r="G156" s="6"/>
      <c r="H156" s="2"/>
      <c r="I156" s="2"/>
      <c r="J156" s="2"/>
      <c r="K156" s="2"/>
      <c r="L156" s="2"/>
      <c r="M156" s="2"/>
      <c r="N156" s="2"/>
    </row>
    <row r="157" spans="1:14" x14ac:dyDescent="0.2">
      <c r="A157" s="2"/>
      <c r="B157" s="56"/>
      <c r="C157" s="2"/>
      <c r="D157" s="2"/>
      <c r="E157" s="2"/>
      <c r="F157" s="6"/>
      <c r="G157" s="6"/>
      <c r="H157" s="2"/>
      <c r="I157" s="2"/>
      <c r="J157" s="2"/>
      <c r="K157" s="2"/>
      <c r="L157" s="2"/>
      <c r="M157" s="2"/>
      <c r="N157" s="2"/>
    </row>
    <row r="158" spans="1:14" x14ac:dyDescent="0.2">
      <c r="A158" s="2"/>
      <c r="B158" s="56"/>
      <c r="C158" s="2"/>
      <c r="D158" s="2"/>
      <c r="E158" s="2"/>
      <c r="F158" s="6"/>
      <c r="G158" s="6"/>
      <c r="H158" s="2"/>
      <c r="I158" s="2"/>
      <c r="J158" s="2"/>
      <c r="K158" s="2"/>
      <c r="L158" s="2"/>
      <c r="M158" s="2"/>
      <c r="N158" s="2"/>
    </row>
    <row r="159" spans="1:14" x14ac:dyDescent="0.2">
      <c r="A159" s="2"/>
      <c r="B159" s="56"/>
      <c r="C159" s="2"/>
      <c r="D159" s="2"/>
      <c r="E159" s="2"/>
      <c r="F159" s="6"/>
      <c r="G159" s="6"/>
      <c r="H159" s="2"/>
      <c r="I159" s="2"/>
      <c r="J159" s="2"/>
      <c r="K159" s="2"/>
      <c r="L159" s="2"/>
      <c r="M159" s="2"/>
      <c r="N159" s="2"/>
    </row>
    <row r="160" spans="1:14" x14ac:dyDescent="0.2">
      <c r="A160" s="2"/>
      <c r="B160" s="56"/>
      <c r="C160" s="2"/>
      <c r="D160" s="2"/>
      <c r="E160" s="2"/>
      <c r="F160" s="6"/>
      <c r="G160" s="6"/>
      <c r="H160" s="2"/>
      <c r="I160" s="2"/>
      <c r="J160" s="2"/>
      <c r="K160" s="2"/>
      <c r="L160" s="2"/>
      <c r="M160" s="2"/>
      <c r="N160" s="2"/>
    </row>
    <row r="161" spans="6:7" x14ac:dyDescent="0.2">
      <c r="F161" s="6"/>
      <c r="G161" s="6"/>
    </row>
    <row r="162" spans="6:7" x14ac:dyDescent="0.2">
      <c r="F162" s="6"/>
      <c r="G162" s="6"/>
    </row>
    <row r="163" spans="6:7" x14ac:dyDescent="0.2">
      <c r="F163" s="6"/>
      <c r="G163" s="6"/>
    </row>
    <row r="164" spans="6:7" x14ac:dyDescent="0.2">
      <c r="F164" s="6"/>
      <c r="G164" s="6"/>
    </row>
    <row r="165" spans="6:7" x14ac:dyDescent="0.2">
      <c r="F165" s="6"/>
      <c r="G165" s="6"/>
    </row>
    <row r="166" spans="6:7" x14ac:dyDescent="0.2">
      <c r="F166" s="6"/>
      <c r="G166" s="6"/>
    </row>
    <row r="167" spans="6:7" x14ac:dyDescent="0.2">
      <c r="F167" s="6"/>
      <c r="G167" s="6"/>
    </row>
    <row r="168" spans="6:7" x14ac:dyDescent="0.2">
      <c r="F168" s="6"/>
      <c r="G168" s="6"/>
    </row>
    <row r="169" spans="6:7" x14ac:dyDescent="0.2">
      <c r="F169" s="6"/>
      <c r="G169" s="6"/>
    </row>
    <row r="170" spans="6:7" x14ac:dyDescent="0.2">
      <c r="F170" s="6"/>
      <c r="G170" s="6"/>
    </row>
    <row r="171" spans="6:7" x14ac:dyDescent="0.2">
      <c r="F171" s="6"/>
      <c r="G171" s="6"/>
    </row>
    <row r="172" spans="6:7" x14ac:dyDescent="0.2">
      <c r="F172" s="6"/>
      <c r="G172" s="6"/>
    </row>
    <row r="173" spans="6:7" x14ac:dyDescent="0.2">
      <c r="F173" s="6"/>
      <c r="G173" s="6"/>
    </row>
    <row r="174" spans="6:7" x14ac:dyDescent="0.2">
      <c r="F174" s="6"/>
      <c r="G174" s="6"/>
    </row>
    <row r="175" spans="6:7" x14ac:dyDescent="0.2">
      <c r="F175" s="6"/>
      <c r="G175" s="6"/>
    </row>
    <row r="176" spans="6:7" x14ac:dyDescent="0.2">
      <c r="F176" s="6"/>
      <c r="G176" s="6"/>
    </row>
    <row r="177" spans="6:7" x14ac:dyDescent="0.2">
      <c r="F177" s="6"/>
      <c r="G177" s="6"/>
    </row>
    <row r="178" spans="6:7" x14ac:dyDescent="0.2">
      <c r="F178" s="6"/>
      <c r="G178" s="6"/>
    </row>
    <row r="179" spans="6:7" x14ac:dyDescent="0.2">
      <c r="F179" s="6"/>
      <c r="G179" s="6"/>
    </row>
    <row r="180" spans="6:7" x14ac:dyDescent="0.2">
      <c r="F180" s="6"/>
      <c r="G180" s="6"/>
    </row>
    <row r="181" spans="6:7" x14ac:dyDescent="0.2">
      <c r="F181" s="6"/>
      <c r="G181" s="6"/>
    </row>
    <row r="182" spans="6:7" x14ac:dyDescent="0.2">
      <c r="F182" s="6"/>
      <c r="G182" s="6"/>
    </row>
    <row r="183" spans="6:7" x14ac:dyDescent="0.2">
      <c r="F183" s="6"/>
      <c r="G183" s="6"/>
    </row>
    <row r="184" spans="6:7" x14ac:dyDescent="0.2">
      <c r="F184" s="6"/>
      <c r="G184" s="6"/>
    </row>
    <row r="185" spans="6:7" x14ac:dyDescent="0.2">
      <c r="F185" s="6"/>
      <c r="G185" s="6"/>
    </row>
    <row r="186" spans="6:7" x14ac:dyDescent="0.2">
      <c r="F186" s="6"/>
      <c r="G186" s="6"/>
    </row>
    <row r="187" spans="6:7" x14ac:dyDescent="0.2">
      <c r="F187" s="6"/>
      <c r="G187" s="6"/>
    </row>
    <row r="188" spans="6:7" x14ac:dyDescent="0.2">
      <c r="F188" s="6"/>
      <c r="G188" s="6"/>
    </row>
    <row r="189" spans="6:7" x14ac:dyDescent="0.2">
      <c r="F189" s="6"/>
      <c r="G189" s="6"/>
    </row>
    <row r="190" spans="6:7" x14ac:dyDescent="0.2">
      <c r="F190" s="6"/>
      <c r="G190" s="6"/>
    </row>
    <row r="191" spans="6:7" x14ac:dyDescent="0.2">
      <c r="F191" s="6"/>
      <c r="G191" s="6"/>
    </row>
    <row r="192" spans="6:7" x14ac:dyDescent="0.2">
      <c r="F192" s="6"/>
      <c r="G192" s="6"/>
    </row>
    <row r="193" spans="6:7" x14ac:dyDescent="0.2">
      <c r="F193" s="6"/>
      <c r="G193" s="6"/>
    </row>
    <row r="194" spans="6:7" x14ac:dyDescent="0.2">
      <c r="F194" s="6"/>
      <c r="G194" s="6"/>
    </row>
    <row r="195" spans="6:7" x14ac:dyDescent="0.2">
      <c r="F195" s="6"/>
      <c r="G195" s="6"/>
    </row>
    <row r="196" spans="6:7" x14ac:dyDescent="0.2">
      <c r="F196" s="6"/>
      <c r="G196" s="6"/>
    </row>
    <row r="197" spans="6:7" x14ac:dyDescent="0.2">
      <c r="F197" s="6"/>
      <c r="G197" s="6"/>
    </row>
    <row r="198" spans="6:7" x14ac:dyDescent="0.2">
      <c r="F198" s="6"/>
      <c r="G198" s="6"/>
    </row>
    <row r="199" spans="6:7" x14ac:dyDescent="0.2">
      <c r="F199" s="6"/>
      <c r="G199" s="6"/>
    </row>
    <row r="200" spans="6:7" x14ac:dyDescent="0.2">
      <c r="F200" s="6"/>
      <c r="G200" s="6"/>
    </row>
    <row r="201" spans="6:7" x14ac:dyDescent="0.2">
      <c r="F201" s="6"/>
      <c r="G201" s="6"/>
    </row>
    <row r="202" spans="6:7" x14ac:dyDescent="0.2">
      <c r="F202" s="6"/>
      <c r="G202" s="6"/>
    </row>
    <row r="203" spans="6:7" x14ac:dyDescent="0.2">
      <c r="F203" s="6"/>
      <c r="G203" s="6"/>
    </row>
    <row r="204" spans="6:7" x14ac:dyDescent="0.2">
      <c r="F204" s="6"/>
      <c r="G204" s="6"/>
    </row>
    <row r="205" spans="6:7" x14ac:dyDescent="0.2">
      <c r="F205" s="6"/>
      <c r="G205" s="6"/>
    </row>
    <row r="206" spans="6:7" x14ac:dyDescent="0.2">
      <c r="F206" s="6"/>
      <c r="G206" s="6"/>
    </row>
    <row r="207" spans="6:7" x14ac:dyDescent="0.2">
      <c r="F207" s="6"/>
      <c r="G207" s="6"/>
    </row>
    <row r="208" spans="6:7" x14ac:dyDescent="0.2">
      <c r="F208" s="6"/>
      <c r="G208" s="6"/>
    </row>
    <row r="209" spans="6:7" x14ac:dyDescent="0.2">
      <c r="F209" s="6"/>
      <c r="G209" s="6"/>
    </row>
    <row r="210" spans="6:7" x14ac:dyDescent="0.2">
      <c r="F210" s="6"/>
      <c r="G210" s="6"/>
    </row>
    <row r="211" spans="6:7" x14ac:dyDescent="0.2">
      <c r="F211" s="6"/>
      <c r="G211" s="6"/>
    </row>
    <row r="212" spans="6:7" x14ac:dyDescent="0.2">
      <c r="F212" s="6"/>
      <c r="G212" s="6"/>
    </row>
    <row r="213" spans="6:7" x14ac:dyDescent="0.2">
      <c r="F213" s="6"/>
      <c r="G213" s="6"/>
    </row>
    <row r="214" spans="6:7" x14ac:dyDescent="0.2">
      <c r="F214" s="6"/>
      <c r="G214" s="6"/>
    </row>
    <row r="215" spans="6:7" x14ac:dyDescent="0.2">
      <c r="F215" s="6"/>
      <c r="G215" s="6"/>
    </row>
    <row r="216" spans="6:7" x14ac:dyDescent="0.2">
      <c r="F216" s="6"/>
      <c r="G216" s="6"/>
    </row>
    <row r="217" spans="6:7" x14ac:dyDescent="0.2">
      <c r="F217" s="6"/>
      <c r="G217" s="6"/>
    </row>
    <row r="218" spans="6:7" x14ac:dyDescent="0.2">
      <c r="F218" s="6"/>
      <c r="G218" s="6"/>
    </row>
    <row r="219" spans="6:7" x14ac:dyDescent="0.2">
      <c r="F219" s="6"/>
      <c r="G219" s="6"/>
    </row>
    <row r="220" spans="6:7" x14ac:dyDescent="0.2">
      <c r="F220" s="6"/>
      <c r="G220" s="6"/>
    </row>
    <row r="221" spans="6:7" x14ac:dyDescent="0.2">
      <c r="F221" s="6"/>
      <c r="G221" s="6"/>
    </row>
    <row r="222" spans="6:7" x14ac:dyDescent="0.2">
      <c r="F222" s="6"/>
      <c r="G222" s="6"/>
    </row>
    <row r="223" spans="6:7" x14ac:dyDescent="0.2">
      <c r="F223" s="6"/>
      <c r="G223" s="6"/>
    </row>
    <row r="224" spans="6:7" x14ac:dyDescent="0.2">
      <c r="F224" s="6"/>
      <c r="G224" s="6"/>
    </row>
    <row r="225" spans="6:7" x14ac:dyDescent="0.2">
      <c r="F225" s="6"/>
      <c r="G225" s="6"/>
    </row>
    <row r="226" spans="6:7" x14ac:dyDescent="0.2">
      <c r="F226" s="6"/>
      <c r="G226" s="6"/>
    </row>
    <row r="227" spans="6:7" x14ac:dyDescent="0.2">
      <c r="F227" s="6"/>
      <c r="G227" s="6"/>
    </row>
    <row r="228" spans="6:7" x14ac:dyDescent="0.2">
      <c r="F228" s="6"/>
      <c r="G228" s="6"/>
    </row>
    <row r="229" spans="6:7" x14ac:dyDescent="0.2">
      <c r="F229" s="6"/>
      <c r="G229" s="6"/>
    </row>
    <row r="230" spans="6:7" x14ac:dyDescent="0.2">
      <c r="F230" s="6"/>
      <c r="G230" s="6"/>
    </row>
    <row r="231" spans="6:7" x14ac:dyDescent="0.2">
      <c r="F231" s="6"/>
      <c r="G231" s="6"/>
    </row>
    <row r="232" spans="6:7" x14ac:dyDescent="0.2">
      <c r="F232" s="6"/>
      <c r="G232" s="6"/>
    </row>
    <row r="233" spans="6:7" x14ac:dyDescent="0.2">
      <c r="F233" s="6"/>
      <c r="G233" s="6"/>
    </row>
    <row r="234" spans="6:7" x14ac:dyDescent="0.2">
      <c r="F234" s="6"/>
      <c r="G234" s="6"/>
    </row>
    <row r="235" spans="6:7" x14ac:dyDescent="0.2">
      <c r="F235" s="6"/>
      <c r="G235" s="6"/>
    </row>
    <row r="236" spans="6:7" x14ac:dyDescent="0.2">
      <c r="F236" s="6"/>
      <c r="G236" s="6"/>
    </row>
    <row r="237" spans="6:7" x14ac:dyDescent="0.2">
      <c r="F237" s="6"/>
      <c r="G237" s="6"/>
    </row>
    <row r="238" spans="6:7" x14ac:dyDescent="0.2">
      <c r="F238" s="6"/>
      <c r="G238" s="6"/>
    </row>
    <row r="239" spans="6:7" x14ac:dyDescent="0.2">
      <c r="F239" s="6"/>
      <c r="G239" s="6"/>
    </row>
    <row r="240" spans="6:7" x14ac:dyDescent="0.2">
      <c r="F240" s="6"/>
      <c r="G240" s="6"/>
    </row>
    <row r="241" spans="6:7" x14ac:dyDescent="0.2">
      <c r="F241" s="6"/>
      <c r="G241" s="6"/>
    </row>
    <row r="242" spans="6:7" x14ac:dyDescent="0.2">
      <c r="F242" s="6"/>
      <c r="G242" s="6"/>
    </row>
    <row r="243" spans="6:7" x14ac:dyDescent="0.2">
      <c r="F243" s="6"/>
      <c r="G243" s="6"/>
    </row>
    <row r="244" spans="6:7" x14ac:dyDescent="0.2">
      <c r="F244" s="6"/>
      <c r="G244" s="6"/>
    </row>
    <row r="245" spans="6:7" x14ac:dyDescent="0.2">
      <c r="F245" s="6"/>
      <c r="G245" s="6"/>
    </row>
    <row r="246" spans="6:7" x14ac:dyDescent="0.2">
      <c r="F246" s="6"/>
      <c r="G246" s="6"/>
    </row>
    <row r="247" spans="6:7" x14ac:dyDescent="0.2">
      <c r="F247" s="6"/>
      <c r="G247" s="6"/>
    </row>
    <row r="248" spans="6:7" x14ac:dyDescent="0.2">
      <c r="F248" s="6"/>
      <c r="G248" s="6"/>
    </row>
    <row r="249" spans="6:7" x14ac:dyDescent="0.2">
      <c r="F249" s="6"/>
      <c r="G249" s="6"/>
    </row>
    <row r="250" spans="6:7" x14ac:dyDescent="0.2">
      <c r="F250" s="6"/>
      <c r="G250" s="6"/>
    </row>
    <row r="251" spans="6:7" x14ac:dyDescent="0.2">
      <c r="F251" s="6"/>
      <c r="G251" s="6"/>
    </row>
    <row r="252" spans="6:7" x14ac:dyDescent="0.2">
      <c r="F252" s="6"/>
      <c r="G252" s="6"/>
    </row>
    <row r="253" spans="6:7" x14ac:dyDescent="0.2">
      <c r="F253" s="6"/>
      <c r="G253" s="6"/>
    </row>
    <row r="254" spans="6:7" x14ac:dyDescent="0.2">
      <c r="F254" s="6"/>
      <c r="G254" s="6"/>
    </row>
    <row r="255" spans="6:7" x14ac:dyDescent="0.2">
      <c r="F255" s="6"/>
      <c r="G255" s="6"/>
    </row>
    <row r="256" spans="6:7" x14ac:dyDescent="0.2">
      <c r="F256" s="6"/>
      <c r="G256" s="6"/>
    </row>
    <row r="257" spans="6:7" x14ac:dyDescent="0.2">
      <c r="F257" s="6"/>
      <c r="G257" s="6"/>
    </row>
    <row r="258" spans="6:7" x14ac:dyDescent="0.2">
      <c r="F258" s="6"/>
      <c r="G258" s="6"/>
    </row>
    <row r="259" spans="6:7" x14ac:dyDescent="0.2">
      <c r="F259" s="6"/>
      <c r="G259" s="6"/>
    </row>
    <row r="260" spans="6:7" x14ac:dyDescent="0.2">
      <c r="F260" s="6"/>
      <c r="G260" s="6"/>
    </row>
    <row r="261" spans="6:7" x14ac:dyDescent="0.2">
      <c r="F261" s="6"/>
      <c r="G261" s="6"/>
    </row>
    <row r="262" spans="6:7" x14ac:dyDescent="0.2">
      <c r="F262" s="6"/>
      <c r="G262" s="6"/>
    </row>
    <row r="263" spans="6:7" x14ac:dyDescent="0.2">
      <c r="F263" s="6"/>
      <c r="G263" s="6"/>
    </row>
    <row r="264" spans="6:7" x14ac:dyDescent="0.2">
      <c r="F264" s="6"/>
      <c r="G264" s="6"/>
    </row>
    <row r="265" spans="6:7" x14ac:dyDescent="0.2">
      <c r="F265" s="6"/>
      <c r="G265" s="6"/>
    </row>
    <row r="266" spans="6:7" x14ac:dyDescent="0.2">
      <c r="F266" s="6"/>
      <c r="G266" s="6"/>
    </row>
    <row r="267" spans="6:7" x14ac:dyDescent="0.2">
      <c r="F267" s="6"/>
      <c r="G267" s="6"/>
    </row>
    <row r="268" spans="6:7" x14ac:dyDescent="0.2">
      <c r="F268" s="6"/>
      <c r="G268" s="6"/>
    </row>
    <row r="269" spans="6:7" x14ac:dyDescent="0.2">
      <c r="F269" s="6"/>
      <c r="G269" s="6"/>
    </row>
    <row r="270" spans="6:7" x14ac:dyDescent="0.2">
      <c r="F270" s="6"/>
      <c r="G270" s="6"/>
    </row>
    <row r="271" spans="6:7" x14ac:dyDescent="0.2">
      <c r="F271" s="6"/>
      <c r="G271" s="6"/>
    </row>
    <row r="272" spans="6:7" x14ac:dyDescent="0.2">
      <c r="F272" s="6"/>
      <c r="G272" s="6"/>
    </row>
    <row r="273" spans="6:7" x14ac:dyDescent="0.2">
      <c r="F273" s="6"/>
      <c r="G273" s="6"/>
    </row>
    <row r="274" spans="6:7" x14ac:dyDescent="0.2">
      <c r="F274" s="6"/>
      <c r="G274" s="6"/>
    </row>
    <row r="275" spans="6:7" x14ac:dyDescent="0.2">
      <c r="F275" s="6"/>
      <c r="G275" s="6"/>
    </row>
    <row r="276" spans="6:7" x14ac:dyDescent="0.2">
      <c r="F276" s="6"/>
      <c r="G276" s="6"/>
    </row>
    <row r="277" spans="6:7" x14ac:dyDescent="0.2">
      <c r="F277" s="6"/>
      <c r="G277" s="6"/>
    </row>
    <row r="278" spans="6:7" x14ac:dyDescent="0.2">
      <c r="F278" s="6"/>
      <c r="G278" s="6"/>
    </row>
    <row r="279" spans="6:7" x14ac:dyDescent="0.2">
      <c r="F279" s="6"/>
      <c r="G279" s="6"/>
    </row>
    <row r="280" spans="6:7" x14ac:dyDescent="0.2">
      <c r="F280" s="6"/>
      <c r="G280" s="6"/>
    </row>
    <row r="281" spans="6:7" x14ac:dyDescent="0.2">
      <c r="F281" s="6"/>
      <c r="G281" s="6"/>
    </row>
    <row r="282" spans="6:7" x14ac:dyDescent="0.2">
      <c r="F282" s="6"/>
      <c r="G282" s="6"/>
    </row>
    <row r="283" spans="6:7" x14ac:dyDescent="0.2">
      <c r="F283" s="6"/>
      <c r="G283" s="6"/>
    </row>
    <row r="284" spans="6:7" x14ac:dyDescent="0.2">
      <c r="F284" s="6"/>
      <c r="G284" s="6"/>
    </row>
    <row r="285" spans="6:7" x14ac:dyDescent="0.2">
      <c r="F285" s="6"/>
      <c r="G285" s="6"/>
    </row>
    <row r="286" spans="6:7" x14ac:dyDescent="0.2">
      <c r="F286" s="6"/>
      <c r="G286" s="6"/>
    </row>
    <row r="287" spans="6:7" x14ac:dyDescent="0.2">
      <c r="F287" s="6"/>
      <c r="G287" s="6"/>
    </row>
    <row r="288" spans="6:7" x14ac:dyDescent="0.2">
      <c r="F288" s="6"/>
      <c r="G288" s="6"/>
    </row>
    <row r="289" spans="6:7" x14ac:dyDescent="0.2">
      <c r="F289" s="6"/>
      <c r="G289" s="6"/>
    </row>
    <row r="290" spans="6:7" x14ac:dyDescent="0.2">
      <c r="F290" s="6"/>
      <c r="G290" s="6"/>
    </row>
    <row r="291" spans="6:7" x14ac:dyDescent="0.2">
      <c r="F291" s="6"/>
      <c r="G291" s="6"/>
    </row>
    <row r="292" spans="6:7" x14ac:dyDescent="0.2">
      <c r="F292" s="6"/>
      <c r="G292" s="6"/>
    </row>
    <row r="293" spans="6:7" x14ac:dyDescent="0.2">
      <c r="F293" s="6"/>
      <c r="G293" s="6"/>
    </row>
    <row r="294" spans="6:7" x14ac:dyDescent="0.2">
      <c r="F294" s="6"/>
      <c r="G294" s="6"/>
    </row>
    <row r="295" spans="6:7" x14ac:dyDescent="0.2">
      <c r="F295" s="6"/>
      <c r="G295" s="6"/>
    </row>
    <row r="296" spans="6:7" x14ac:dyDescent="0.2">
      <c r="F296" s="6"/>
      <c r="G296" s="6"/>
    </row>
    <row r="297" spans="6:7" x14ac:dyDescent="0.2">
      <c r="F297" s="6"/>
      <c r="G297" s="6"/>
    </row>
    <row r="298" spans="6:7" x14ac:dyDescent="0.2">
      <c r="F298" s="6"/>
      <c r="G298" s="6"/>
    </row>
    <row r="299" spans="6:7" x14ac:dyDescent="0.2">
      <c r="F299" s="6"/>
      <c r="G299" s="6"/>
    </row>
    <row r="300" spans="6:7" x14ac:dyDescent="0.2">
      <c r="F300" s="6"/>
      <c r="G300" s="6"/>
    </row>
    <row r="301" spans="6:7" x14ac:dyDescent="0.2">
      <c r="F301" s="6"/>
      <c r="G301" s="6"/>
    </row>
    <row r="302" spans="6:7" x14ac:dyDescent="0.2">
      <c r="F302" s="6"/>
      <c r="G302" s="6"/>
    </row>
    <row r="303" spans="6:7" x14ac:dyDescent="0.2">
      <c r="F303" s="6"/>
      <c r="G303" s="6"/>
    </row>
    <row r="304" spans="6:7" x14ac:dyDescent="0.2">
      <c r="F304" s="6"/>
      <c r="G304" s="6"/>
    </row>
    <row r="305" spans="6:7" x14ac:dyDescent="0.2">
      <c r="F305" s="6"/>
      <c r="G305" s="6"/>
    </row>
    <row r="306" spans="6:7" x14ac:dyDescent="0.2">
      <c r="F306" s="6"/>
      <c r="G306" s="6"/>
    </row>
    <row r="307" spans="6:7" x14ac:dyDescent="0.2">
      <c r="F307" s="6"/>
      <c r="G307" s="6"/>
    </row>
    <row r="308" spans="6:7" x14ac:dyDescent="0.2">
      <c r="F308" s="6"/>
      <c r="G308" s="6"/>
    </row>
    <row r="309" spans="6:7" x14ac:dyDescent="0.2">
      <c r="F309" s="6"/>
      <c r="G309" s="6"/>
    </row>
    <row r="310" spans="6:7" x14ac:dyDescent="0.2">
      <c r="F310" s="6"/>
      <c r="G310" s="6"/>
    </row>
    <row r="311" spans="6:7" x14ac:dyDescent="0.2">
      <c r="F311" s="6"/>
      <c r="G311" s="6"/>
    </row>
    <row r="312" spans="6:7" x14ac:dyDescent="0.2">
      <c r="F312" s="6"/>
      <c r="G312" s="6"/>
    </row>
    <row r="313" spans="6:7" x14ac:dyDescent="0.2">
      <c r="F313" s="6"/>
      <c r="G313" s="6"/>
    </row>
    <row r="314" spans="6:7" x14ac:dyDescent="0.2">
      <c r="F314" s="6"/>
      <c r="G314" s="6"/>
    </row>
    <row r="315" spans="6:7" x14ac:dyDescent="0.2">
      <c r="F315" s="6"/>
      <c r="G315" s="6"/>
    </row>
    <row r="316" spans="6:7" x14ac:dyDescent="0.2">
      <c r="F316" s="6"/>
      <c r="G316" s="6"/>
    </row>
    <row r="317" spans="6:7" x14ac:dyDescent="0.2">
      <c r="F317" s="6"/>
      <c r="G317" s="6"/>
    </row>
    <row r="318" spans="6:7" x14ac:dyDescent="0.2">
      <c r="F318" s="6"/>
      <c r="G318" s="6"/>
    </row>
    <row r="319" spans="6:7" x14ac:dyDescent="0.2">
      <c r="F319" s="6"/>
      <c r="G319" s="6"/>
    </row>
    <row r="320" spans="6:7" x14ac:dyDescent="0.2">
      <c r="F320" s="6"/>
      <c r="G320" s="6"/>
    </row>
    <row r="321" spans="6:7" x14ac:dyDescent="0.2">
      <c r="F321" s="6"/>
      <c r="G321" s="6"/>
    </row>
    <row r="322" spans="6:7" x14ac:dyDescent="0.2">
      <c r="F322" s="6"/>
      <c r="G322" s="6"/>
    </row>
    <row r="323" spans="6:7" x14ac:dyDescent="0.2">
      <c r="F323" s="6"/>
      <c r="G323" s="6"/>
    </row>
    <row r="324" spans="6:7" x14ac:dyDescent="0.2">
      <c r="F324" s="6"/>
      <c r="G324" s="6"/>
    </row>
    <row r="325" spans="6:7" x14ac:dyDescent="0.2">
      <c r="F325" s="6"/>
      <c r="G325" s="6"/>
    </row>
    <row r="326" spans="6:7" x14ac:dyDescent="0.2">
      <c r="F326" s="6"/>
      <c r="G326" s="6"/>
    </row>
    <row r="327" spans="6:7" x14ac:dyDescent="0.2">
      <c r="F327" s="6"/>
      <c r="G327" s="6"/>
    </row>
    <row r="328" spans="6:7" x14ac:dyDescent="0.2">
      <c r="F328" s="6"/>
      <c r="G328" s="6"/>
    </row>
    <row r="329" spans="6:7" x14ac:dyDescent="0.2">
      <c r="F329" s="6"/>
      <c r="G329" s="6"/>
    </row>
    <row r="330" spans="6:7" x14ac:dyDescent="0.2">
      <c r="F330" s="6"/>
      <c r="G330" s="6"/>
    </row>
    <row r="331" spans="6:7" x14ac:dyDescent="0.2">
      <c r="F331" s="6"/>
      <c r="G331" s="6"/>
    </row>
    <row r="332" spans="6:7" x14ac:dyDescent="0.2">
      <c r="F332" s="6"/>
      <c r="G332" s="6"/>
    </row>
    <row r="333" spans="6:7" x14ac:dyDescent="0.2">
      <c r="F333" s="6"/>
      <c r="G333" s="6"/>
    </row>
    <row r="334" spans="6:7" x14ac:dyDescent="0.2">
      <c r="F334" s="6"/>
      <c r="G334" s="6"/>
    </row>
    <row r="335" spans="6:7" x14ac:dyDescent="0.2">
      <c r="F335" s="6"/>
      <c r="G335" s="6"/>
    </row>
    <row r="336" spans="6:7" x14ac:dyDescent="0.2">
      <c r="F336" s="6"/>
      <c r="G336" s="6"/>
    </row>
    <row r="337" spans="6:7" x14ac:dyDescent="0.2">
      <c r="F337" s="6"/>
      <c r="G337" s="6"/>
    </row>
    <row r="338" spans="6:7" x14ac:dyDescent="0.2">
      <c r="F338" s="6"/>
      <c r="G338" s="6"/>
    </row>
    <row r="339" spans="6:7" x14ac:dyDescent="0.2">
      <c r="F339" s="6"/>
      <c r="G339" s="6"/>
    </row>
    <row r="340" spans="6:7" x14ac:dyDescent="0.2">
      <c r="F340" s="6"/>
      <c r="G340" s="6"/>
    </row>
    <row r="341" spans="6:7" x14ac:dyDescent="0.2">
      <c r="F341" s="6"/>
      <c r="G341" s="6"/>
    </row>
    <row r="342" spans="6:7" x14ac:dyDescent="0.2">
      <c r="F342" s="6"/>
      <c r="G342" s="6"/>
    </row>
    <row r="343" spans="6:7" x14ac:dyDescent="0.2">
      <c r="F343" s="6"/>
      <c r="G343" s="6"/>
    </row>
    <row r="344" spans="6:7" x14ac:dyDescent="0.2">
      <c r="F344" s="6"/>
      <c r="G344" s="6"/>
    </row>
    <row r="345" spans="6:7" x14ac:dyDescent="0.2">
      <c r="F345" s="6"/>
      <c r="G345" s="6"/>
    </row>
    <row r="346" spans="6:7" x14ac:dyDescent="0.2">
      <c r="F346" s="6"/>
      <c r="G346" s="6"/>
    </row>
    <row r="347" spans="6:7" x14ac:dyDescent="0.2">
      <c r="F347" s="6"/>
      <c r="G347" s="6"/>
    </row>
    <row r="348" spans="6:7" x14ac:dyDescent="0.2">
      <c r="F348" s="6"/>
      <c r="G348" s="6"/>
    </row>
    <row r="349" spans="6:7" x14ac:dyDescent="0.2">
      <c r="F349" s="6"/>
      <c r="G349" s="6"/>
    </row>
    <row r="350" spans="6:7" x14ac:dyDescent="0.2">
      <c r="F350" s="6"/>
      <c r="G350" s="6"/>
    </row>
    <row r="351" spans="6:7" x14ac:dyDescent="0.2">
      <c r="F351" s="6"/>
      <c r="G351" s="6"/>
    </row>
    <row r="352" spans="6:7" x14ac:dyDescent="0.2">
      <c r="F352" s="6"/>
      <c r="G352" s="6"/>
    </row>
    <row r="353" spans="6:7" x14ac:dyDescent="0.2">
      <c r="F353" s="6"/>
      <c r="G353" s="6"/>
    </row>
    <row r="354" spans="6:7" x14ac:dyDescent="0.2">
      <c r="F354" s="6"/>
      <c r="G354" s="6"/>
    </row>
    <row r="355" spans="6:7" x14ac:dyDescent="0.2">
      <c r="F355" s="6"/>
      <c r="G355" s="6"/>
    </row>
    <row r="356" spans="6:7" x14ac:dyDescent="0.2">
      <c r="F356" s="6"/>
      <c r="G356" s="6"/>
    </row>
    <row r="357" spans="6:7" x14ac:dyDescent="0.2">
      <c r="F357" s="6"/>
      <c r="G357" s="6"/>
    </row>
    <row r="358" spans="6:7" x14ac:dyDescent="0.2">
      <c r="F358" s="6"/>
      <c r="G358" s="6"/>
    </row>
    <row r="359" spans="6:7" x14ac:dyDescent="0.2">
      <c r="F359" s="6"/>
      <c r="G359" s="6"/>
    </row>
    <row r="360" spans="6:7" x14ac:dyDescent="0.2">
      <c r="F360" s="6"/>
      <c r="G360" s="6"/>
    </row>
    <row r="361" spans="6:7" x14ac:dyDescent="0.2">
      <c r="F361" s="6"/>
      <c r="G361" s="6"/>
    </row>
    <row r="362" spans="6:7" x14ac:dyDescent="0.2">
      <c r="F362" s="6"/>
      <c r="G362" s="6"/>
    </row>
    <row r="363" spans="6:7" x14ac:dyDescent="0.2">
      <c r="F363" s="6"/>
      <c r="G363" s="6"/>
    </row>
    <row r="364" spans="6:7" x14ac:dyDescent="0.2">
      <c r="F364" s="6"/>
      <c r="G364" s="6"/>
    </row>
    <row r="365" spans="6:7" x14ac:dyDescent="0.2">
      <c r="F365" s="6"/>
      <c r="G365" s="6"/>
    </row>
    <row r="366" spans="6:7" x14ac:dyDescent="0.2">
      <c r="F366" s="6"/>
      <c r="G366" s="6"/>
    </row>
    <row r="367" spans="6:7" x14ac:dyDescent="0.2">
      <c r="F367" s="6"/>
      <c r="G367" s="6"/>
    </row>
    <row r="368" spans="6:7" x14ac:dyDescent="0.2">
      <c r="F368" s="6"/>
      <c r="G368" s="6"/>
    </row>
    <row r="369" spans="6:7" x14ac:dyDescent="0.2">
      <c r="F369" s="6"/>
      <c r="G369" s="6"/>
    </row>
    <row r="370" spans="6:7" x14ac:dyDescent="0.2">
      <c r="F370" s="6"/>
      <c r="G370" s="6"/>
    </row>
    <row r="371" spans="6:7" x14ac:dyDescent="0.2">
      <c r="F371" s="6"/>
      <c r="G371" s="6"/>
    </row>
    <row r="372" spans="6:7" x14ac:dyDescent="0.2">
      <c r="F372" s="6"/>
      <c r="G372" s="6"/>
    </row>
    <row r="373" spans="6:7" x14ac:dyDescent="0.2">
      <c r="F373" s="6"/>
      <c r="G373" s="6"/>
    </row>
    <row r="374" spans="6:7" x14ac:dyDescent="0.2">
      <c r="F374" s="6"/>
      <c r="G374" s="6"/>
    </row>
    <row r="375" spans="6:7" x14ac:dyDescent="0.2">
      <c r="F375" s="6"/>
      <c r="G375" s="6"/>
    </row>
    <row r="376" spans="6:7" x14ac:dyDescent="0.2">
      <c r="F376" s="6"/>
      <c r="G376" s="6"/>
    </row>
    <row r="377" spans="6:7" x14ac:dyDescent="0.2">
      <c r="F377" s="6"/>
      <c r="G377" s="6"/>
    </row>
    <row r="378" spans="6:7" x14ac:dyDescent="0.2">
      <c r="F378" s="6"/>
      <c r="G378" s="6"/>
    </row>
    <row r="379" spans="6:7" x14ac:dyDescent="0.2">
      <c r="F379" s="6"/>
      <c r="G379" s="6"/>
    </row>
    <row r="380" spans="6:7" x14ac:dyDescent="0.2">
      <c r="F380" s="6"/>
      <c r="G380" s="6"/>
    </row>
    <row r="381" spans="6:7" x14ac:dyDescent="0.2">
      <c r="F381" s="6"/>
      <c r="G381" s="6"/>
    </row>
    <row r="382" spans="6:7" x14ac:dyDescent="0.2">
      <c r="F382" s="6"/>
      <c r="G382" s="6"/>
    </row>
    <row r="383" spans="6:7" x14ac:dyDescent="0.2">
      <c r="F383" s="6"/>
      <c r="G383" s="6"/>
    </row>
    <row r="384" spans="6:7" x14ac:dyDescent="0.2">
      <c r="F384" s="6"/>
      <c r="G384" s="6"/>
    </row>
    <row r="385" spans="6:7" x14ac:dyDescent="0.2">
      <c r="F385" s="6"/>
      <c r="G385" s="6"/>
    </row>
    <row r="386" spans="6:7" x14ac:dyDescent="0.2">
      <c r="F386" s="6"/>
      <c r="G386" s="6"/>
    </row>
    <row r="387" spans="6:7" x14ac:dyDescent="0.2">
      <c r="F387" s="6"/>
      <c r="G387" s="6"/>
    </row>
    <row r="388" spans="6:7" x14ac:dyDescent="0.2">
      <c r="F388" s="6"/>
      <c r="G388" s="6"/>
    </row>
    <row r="389" spans="6:7" x14ac:dyDescent="0.2">
      <c r="F389" s="6"/>
      <c r="G389" s="6"/>
    </row>
    <row r="390" spans="6:7" x14ac:dyDescent="0.2">
      <c r="F390" s="6"/>
      <c r="G390" s="6"/>
    </row>
    <row r="391" spans="6:7" x14ac:dyDescent="0.2">
      <c r="F391" s="6"/>
      <c r="G391" s="6"/>
    </row>
    <row r="392" spans="6:7" x14ac:dyDescent="0.2">
      <c r="F392" s="6"/>
      <c r="G392" s="6"/>
    </row>
    <row r="393" spans="6:7" x14ac:dyDescent="0.2">
      <c r="F393" s="6"/>
      <c r="G393" s="6"/>
    </row>
    <row r="394" spans="6:7" x14ac:dyDescent="0.2">
      <c r="F394" s="6"/>
      <c r="G394" s="6"/>
    </row>
    <row r="395" spans="6:7" x14ac:dyDescent="0.2">
      <c r="F395" s="6"/>
      <c r="G395" s="6"/>
    </row>
    <row r="396" spans="6:7" x14ac:dyDescent="0.2">
      <c r="F396" s="6"/>
      <c r="G396" s="6"/>
    </row>
    <row r="397" spans="6:7" x14ac:dyDescent="0.2">
      <c r="F397" s="6"/>
      <c r="G397" s="6"/>
    </row>
    <row r="398" spans="6:7" x14ac:dyDescent="0.2">
      <c r="F398" s="6"/>
      <c r="G398" s="6"/>
    </row>
    <row r="399" spans="6:7" x14ac:dyDescent="0.2">
      <c r="F399" s="6"/>
      <c r="G399" s="6"/>
    </row>
    <row r="400" spans="6:7" x14ac:dyDescent="0.2">
      <c r="F400" s="6"/>
      <c r="G400" s="6"/>
    </row>
    <row r="401" spans="6:7" x14ac:dyDescent="0.2">
      <c r="F401" s="6"/>
      <c r="G401" s="6"/>
    </row>
    <row r="402" spans="6:7" x14ac:dyDescent="0.2">
      <c r="F402" s="6"/>
      <c r="G402" s="6"/>
    </row>
    <row r="403" spans="6:7" x14ac:dyDescent="0.2">
      <c r="F403" s="6"/>
      <c r="G403" s="6"/>
    </row>
    <row r="404" spans="6:7" x14ac:dyDescent="0.2">
      <c r="F404" s="6"/>
      <c r="G404" s="6"/>
    </row>
    <row r="405" spans="6:7" x14ac:dyDescent="0.2">
      <c r="F405" s="6"/>
      <c r="G405" s="6"/>
    </row>
    <row r="406" spans="6:7" x14ac:dyDescent="0.2">
      <c r="F406" s="6"/>
      <c r="G406" s="6"/>
    </row>
    <row r="407" spans="6:7" x14ac:dyDescent="0.2">
      <c r="F407" s="6"/>
      <c r="G407" s="6"/>
    </row>
    <row r="408" spans="6:7" x14ac:dyDescent="0.2">
      <c r="F408" s="6"/>
      <c r="G408" s="6"/>
    </row>
    <row r="409" spans="6:7" x14ac:dyDescent="0.2">
      <c r="F409" s="6"/>
      <c r="G409" s="6"/>
    </row>
    <row r="410" spans="6:7" x14ac:dyDescent="0.2">
      <c r="F410" s="6"/>
      <c r="G410" s="6"/>
    </row>
    <row r="411" spans="6:7" x14ac:dyDescent="0.2">
      <c r="F411" s="6"/>
      <c r="G411" s="6"/>
    </row>
    <row r="412" spans="6:7" x14ac:dyDescent="0.2">
      <c r="F412" s="6"/>
      <c r="G412" s="6"/>
    </row>
    <row r="413" spans="6:7" x14ac:dyDescent="0.2">
      <c r="F413" s="6"/>
      <c r="G413" s="6"/>
    </row>
    <row r="414" spans="6:7" x14ac:dyDescent="0.2">
      <c r="F414" s="6"/>
      <c r="G414" s="6"/>
    </row>
    <row r="415" spans="6:7" x14ac:dyDescent="0.2">
      <c r="F415" s="6"/>
      <c r="G415" s="6"/>
    </row>
    <row r="416" spans="6:7" x14ac:dyDescent="0.2">
      <c r="F416" s="6"/>
      <c r="G416" s="6"/>
    </row>
    <row r="417" spans="6:7" x14ac:dyDescent="0.2">
      <c r="F417" s="6"/>
      <c r="G417" s="6"/>
    </row>
    <row r="418" spans="6:7" x14ac:dyDescent="0.2">
      <c r="F418" s="6"/>
      <c r="G418" s="6"/>
    </row>
    <row r="419" spans="6:7" x14ac:dyDescent="0.2">
      <c r="F419" s="6"/>
      <c r="G419" s="6"/>
    </row>
    <row r="420" spans="6:7" x14ac:dyDescent="0.2">
      <c r="F420" s="6"/>
      <c r="G420" s="6"/>
    </row>
    <row r="421" spans="6:7" x14ac:dyDescent="0.2">
      <c r="F421" s="6"/>
      <c r="G421" s="6"/>
    </row>
    <row r="422" spans="6:7" x14ac:dyDescent="0.2">
      <c r="F422" s="6"/>
      <c r="G422" s="6"/>
    </row>
    <row r="423" spans="6:7" x14ac:dyDescent="0.2">
      <c r="F423" s="6"/>
      <c r="G423" s="6"/>
    </row>
    <row r="424" spans="6:7" x14ac:dyDescent="0.2">
      <c r="F424" s="6"/>
      <c r="G424" s="6"/>
    </row>
    <row r="425" spans="6:7" x14ac:dyDescent="0.2">
      <c r="F425" s="6"/>
      <c r="G425" s="6"/>
    </row>
    <row r="426" spans="6:7" x14ac:dyDescent="0.2">
      <c r="F426" s="6"/>
      <c r="G426" s="6"/>
    </row>
    <row r="427" spans="6:7" x14ac:dyDescent="0.2">
      <c r="F427" s="6"/>
      <c r="G427" s="6"/>
    </row>
    <row r="428" spans="6:7" x14ac:dyDescent="0.2">
      <c r="F428" s="6"/>
      <c r="G428" s="6"/>
    </row>
    <row r="429" spans="6:7" x14ac:dyDescent="0.2">
      <c r="F429" s="6"/>
      <c r="G429" s="6"/>
    </row>
    <row r="430" spans="6:7" x14ac:dyDescent="0.2">
      <c r="F430" s="6"/>
      <c r="G430" s="6"/>
    </row>
    <row r="431" spans="6:7" x14ac:dyDescent="0.2">
      <c r="F431" s="6"/>
      <c r="G431" s="6"/>
    </row>
    <row r="432" spans="6:7" x14ac:dyDescent="0.2">
      <c r="F432" s="6"/>
      <c r="G432" s="6"/>
    </row>
    <row r="433" spans="6:7" x14ac:dyDescent="0.2">
      <c r="F433" s="6"/>
      <c r="G433" s="6"/>
    </row>
    <row r="434" spans="6:7" x14ac:dyDescent="0.2">
      <c r="F434" s="6"/>
      <c r="G434" s="6"/>
    </row>
    <row r="435" spans="6:7" x14ac:dyDescent="0.2">
      <c r="F435" s="6"/>
      <c r="G435" s="6"/>
    </row>
    <row r="436" spans="6:7" x14ac:dyDescent="0.2">
      <c r="F436" s="6"/>
      <c r="G436" s="6"/>
    </row>
    <row r="437" spans="6:7" x14ac:dyDescent="0.2">
      <c r="F437" s="6"/>
      <c r="G437" s="6"/>
    </row>
    <row r="438" spans="6:7" x14ac:dyDescent="0.2">
      <c r="F438" s="6"/>
      <c r="G438" s="6"/>
    </row>
    <row r="439" spans="6:7" x14ac:dyDescent="0.2">
      <c r="F439" s="6"/>
      <c r="G439" s="6"/>
    </row>
    <row r="440" spans="6:7" x14ac:dyDescent="0.2">
      <c r="F440" s="6"/>
      <c r="G440" s="6"/>
    </row>
    <row r="441" spans="6:7" x14ac:dyDescent="0.2">
      <c r="F441" s="6"/>
      <c r="G441" s="6"/>
    </row>
    <row r="442" spans="6:7" x14ac:dyDescent="0.2">
      <c r="F442" s="6"/>
      <c r="G442" s="6"/>
    </row>
    <row r="443" spans="6:7" x14ac:dyDescent="0.2">
      <c r="F443" s="6"/>
      <c r="G443" s="6"/>
    </row>
    <row r="444" spans="6:7" x14ac:dyDescent="0.2">
      <c r="F444" s="6"/>
      <c r="G444" s="6"/>
    </row>
    <row r="445" spans="6:7" x14ac:dyDescent="0.2">
      <c r="F445" s="6"/>
      <c r="G445" s="6"/>
    </row>
    <row r="446" spans="6:7" x14ac:dyDescent="0.2">
      <c r="F446" s="6"/>
      <c r="G446" s="6"/>
    </row>
    <row r="447" spans="6:7" x14ac:dyDescent="0.2">
      <c r="F447" s="6"/>
      <c r="G447" s="6"/>
    </row>
    <row r="448" spans="6:7" x14ac:dyDescent="0.2">
      <c r="F448" s="6"/>
      <c r="G448" s="6"/>
    </row>
    <row r="449" spans="6:7" x14ac:dyDescent="0.2">
      <c r="F449" s="6"/>
      <c r="G449" s="6"/>
    </row>
    <row r="450" spans="6:7" x14ac:dyDescent="0.2">
      <c r="F450" s="6"/>
      <c r="G450" s="6"/>
    </row>
    <row r="451" spans="6:7" x14ac:dyDescent="0.2">
      <c r="F451" s="6"/>
      <c r="G451" s="6"/>
    </row>
    <row r="452" spans="6:7" x14ac:dyDescent="0.2">
      <c r="F452" s="6"/>
      <c r="G452" s="6"/>
    </row>
    <row r="453" spans="6:7" x14ac:dyDescent="0.2">
      <c r="F453" s="6"/>
      <c r="G453" s="6"/>
    </row>
    <row r="454" spans="6:7" x14ac:dyDescent="0.2">
      <c r="F454" s="6"/>
      <c r="G454" s="6"/>
    </row>
    <row r="455" spans="6:7" x14ac:dyDescent="0.2">
      <c r="F455" s="6"/>
      <c r="G455" s="6"/>
    </row>
    <row r="456" spans="6:7" x14ac:dyDescent="0.2">
      <c r="F456" s="6"/>
      <c r="G456" s="6"/>
    </row>
    <row r="457" spans="6:7" x14ac:dyDescent="0.2">
      <c r="F457" s="6"/>
      <c r="G457" s="6"/>
    </row>
    <row r="458" spans="6:7" x14ac:dyDescent="0.2">
      <c r="F458" s="6"/>
      <c r="G458" s="6"/>
    </row>
    <row r="459" spans="6:7" x14ac:dyDescent="0.2">
      <c r="F459" s="6"/>
      <c r="G459" s="6"/>
    </row>
    <row r="460" spans="6:7" x14ac:dyDescent="0.2">
      <c r="F460" s="6"/>
      <c r="G460" s="6"/>
    </row>
    <row r="461" spans="6:7" x14ac:dyDescent="0.2">
      <c r="F461" s="6"/>
      <c r="G461" s="6"/>
    </row>
    <row r="462" spans="6:7" x14ac:dyDescent="0.2">
      <c r="F462" s="6"/>
      <c r="G462" s="6"/>
    </row>
    <row r="463" spans="6:7" x14ac:dyDescent="0.2">
      <c r="F463" s="6"/>
      <c r="G463" s="6"/>
    </row>
    <row r="464" spans="6:7" x14ac:dyDescent="0.2">
      <c r="F464" s="6"/>
      <c r="G464" s="6"/>
    </row>
    <row r="465" spans="6:7" x14ac:dyDescent="0.2">
      <c r="F465" s="6"/>
      <c r="G465" s="6"/>
    </row>
    <row r="466" spans="6:7" x14ac:dyDescent="0.2">
      <c r="F466" s="6"/>
      <c r="G466" s="6"/>
    </row>
    <row r="467" spans="6:7" x14ac:dyDescent="0.2">
      <c r="F467" s="6"/>
      <c r="G467" s="6"/>
    </row>
    <row r="468" spans="6:7" x14ac:dyDescent="0.2">
      <c r="F468" s="6"/>
      <c r="G468" s="6"/>
    </row>
    <row r="469" spans="6:7" x14ac:dyDescent="0.2">
      <c r="F469" s="6"/>
      <c r="G469" s="6"/>
    </row>
    <row r="470" spans="6:7" x14ac:dyDescent="0.2">
      <c r="F470" s="6"/>
      <c r="G470" s="6"/>
    </row>
    <row r="471" spans="6:7" x14ac:dyDescent="0.2">
      <c r="F471" s="6"/>
      <c r="G471" s="6"/>
    </row>
    <row r="472" spans="6:7" x14ac:dyDescent="0.2">
      <c r="F472" s="6"/>
      <c r="G472" s="6"/>
    </row>
    <row r="473" spans="6:7" x14ac:dyDescent="0.2">
      <c r="F473" s="6"/>
      <c r="G473" s="6"/>
    </row>
    <row r="474" spans="6:7" x14ac:dyDescent="0.2">
      <c r="F474" s="6"/>
      <c r="G474" s="6"/>
    </row>
    <row r="475" spans="6:7" x14ac:dyDescent="0.2">
      <c r="F475" s="6"/>
      <c r="G475" s="6"/>
    </row>
    <row r="476" spans="6:7" x14ac:dyDescent="0.2">
      <c r="F476" s="6"/>
      <c r="G476" s="6"/>
    </row>
    <row r="477" spans="6:7" x14ac:dyDescent="0.2">
      <c r="F477" s="6"/>
      <c r="G477" s="6"/>
    </row>
    <row r="478" spans="6:7" x14ac:dyDescent="0.2">
      <c r="F478" s="6"/>
      <c r="G478" s="6"/>
    </row>
    <row r="479" spans="6:7" x14ac:dyDescent="0.2">
      <c r="F479" s="6"/>
      <c r="G479" s="6"/>
    </row>
    <row r="480" spans="6:7" x14ac:dyDescent="0.2">
      <c r="F480" s="6"/>
      <c r="G480" s="6"/>
    </row>
    <row r="481" spans="6:7" x14ac:dyDescent="0.2">
      <c r="F481" s="6"/>
      <c r="G481" s="6"/>
    </row>
    <row r="482" spans="6:7" x14ac:dyDescent="0.2">
      <c r="F482" s="6"/>
      <c r="G482" s="6"/>
    </row>
    <row r="483" spans="6:7" x14ac:dyDescent="0.2">
      <c r="F483" s="6"/>
      <c r="G483" s="6"/>
    </row>
    <row r="484" spans="6:7" x14ac:dyDescent="0.2">
      <c r="F484" s="6"/>
      <c r="G484" s="6"/>
    </row>
    <row r="485" spans="6:7" x14ac:dyDescent="0.2">
      <c r="F485" s="6"/>
      <c r="G485" s="6"/>
    </row>
    <row r="486" spans="6:7" x14ac:dyDescent="0.2">
      <c r="F486" s="6"/>
      <c r="G486" s="6"/>
    </row>
    <row r="487" spans="6:7" x14ac:dyDescent="0.2">
      <c r="F487" s="6"/>
      <c r="G487" s="6"/>
    </row>
    <row r="488" spans="6:7" x14ac:dyDescent="0.2">
      <c r="F488" s="6"/>
      <c r="G488" s="6"/>
    </row>
    <row r="489" spans="6:7" x14ac:dyDescent="0.2">
      <c r="F489" s="6"/>
      <c r="G489" s="6"/>
    </row>
    <row r="490" spans="6:7" x14ac:dyDescent="0.2">
      <c r="F490" s="6"/>
      <c r="G490" s="6"/>
    </row>
    <row r="491" spans="6:7" x14ac:dyDescent="0.2">
      <c r="F491" s="6"/>
      <c r="G491" s="6"/>
    </row>
    <row r="492" spans="6:7" x14ac:dyDescent="0.2">
      <c r="F492" s="6"/>
      <c r="G492" s="6"/>
    </row>
    <row r="493" spans="6:7" x14ac:dyDescent="0.2">
      <c r="F493" s="6"/>
      <c r="G493" s="6"/>
    </row>
    <row r="494" spans="6:7" x14ac:dyDescent="0.2">
      <c r="F494" s="6"/>
      <c r="G494" s="6"/>
    </row>
    <row r="495" spans="6:7" x14ac:dyDescent="0.2">
      <c r="F495" s="6"/>
      <c r="G495" s="6"/>
    </row>
    <row r="496" spans="6:7" x14ac:dyDescent="0.2">
      <c r="F496" s="6"/>
      <c r="G496" s="6"/>
    </row>
    <row r="497" spans="6:7" x14ac:dyDescent="0.2">
      <c r="F497" s="6"/>
      <c r="G497" s="6"/>
    </row>
    <row r="498" spans="6:7" x14ac:dyDescent="0.2">
      <c r="F498" s="6"/>
      <c r="G498" s="6"/>
    </row>
    <row r="499" spans="6:7" x14ac:dyDescent="0.2">
      <c r="F499" s="6"/>
      <c r="G499" s="6"/>
    </row>
    <row r="500" spans="6:7" x14ac:dyDescent="0.2">
      <c r="F500" s="6"/>
      <c r="G500" s="6"/>
    </row>
    <row r="501" spans="6:7" x14ac:dyDescent="0.2">
      <c r="F501" s="6"/>
      <c r="G501" s="6"/>
    </row>
    <row r="502" spans="6:7" x14ac:dyDescent="0.2">
      <c r="F502" s="6"/>
      <c r="G502" s="6"/>
    </row>
    <row r="503" spans="6:7" x14ac:dyDescent="0.2">
      <c r="F503" s="6"/>
      <c r="G503" s="6"/>
    </row>
    <row r="504" spans="6:7" x14ac:dyDescent="0.2">
      <c r="F504" s="6"/>
      <c r="G504" s="6"/>
    </row>
    <row r="505" spans="6:7" x14ac:dyDescent="0.2">
      <c r="F505" s="6"/>
      <c r="G505" s="6"/>
    </row>
    <row r="506" spans="6:7" x14ac:dyDescent="0.2">
      <c r="F506" s="6"/>
      <c r="G506" s="6"/>
    </row>
    <row r="507" spans="6:7" x14ac:dyDescent="0.2">
      <c r="F507" s="6"/>
      <c r="G507" s="6"/>
    </row>
    <row r="508" spans="6:7" x14ac:dyDescent="0.2">
      <c r="F508" s="6"/>
      <c r="G508" s="6"/>
    </row>
    <row r="509" spans="6:7" x14ac:dyDescent="0.2">
      <c r="F509" s="6"/>
      <c r="G509" s="6"/>
    </row>
    <row r="510" spans="6:7" x14ac:dyDescent="0.2">
      <c r="F510" s="6"/>
      <c r="G510" s="6"/>
    </row>
    <row r="511" spans="6:7" x14ac:dyDescent="0.2">
      <c r="F511" s="6"/>
      <c r="G511" s="6"/>
    </row>
    <row r="512" spans="6:7" x14ac:dyDescent="0.2">
      <c r="F512" s="6"/>
      <c r="G512" s="6"/>
    </row>
    <row r="513" spans="6:7" x14ac:dyDescent="0.2">
      <c r="F513" s="6"/>
      <c r="G513" s="6"/>
    </row>
    <row r="514" spans="6:7" x14ac:dyDescent="0.2">
      <c r="F514" s="6"/>
      <c r="G514" s="6"/>
    </row>
    <row r="515" spans="6:7" x14ac:dyDescent="0.2">
      <c r="F515" s="6"/>
      <c r="G515" s="6"/>
    </row>
    <row r="516" spans="6:7" x14ac:dyDescent="0.2">
      <c r="F516" s="6"/>
      <c r="G516" s="6"/>
    </row>
    <row r="517" spans="6:7" x14ac:dyDescent="0.2">
      <c r="F517" s="6"/>
      <c r="G517" s="6"/>
    </row>
    <row r="518" spans="6:7" x14ac:dyDescent="0.2">
      <c r="F518" s="6"/>
      <c r="G518" s="6"/>
    </row>
    <row r="519" spans="6:7" x14ac:dyDescent="0.2">
      <c r="F519" s="6"/>
      <c r="G519" s="6"/>
    </row>
    <row r="520" spans="6:7" x14ac:dyDescent="0.2">
      <c r="F520" s="6"/>
      <c r="G520" s="6"/>
    </row>
    <row r="521" spans="6:7" x14ac:dyDescent="0.2">
      <c r="F521" s="6"/>
      <c r="G521" s="6"/>
    </row>
    <row r="522" spans="6:7" x14ac:dyDescent="0.2">
      <c r="F522" s="6"/>
      <c r="G522" s="6"/>
    </row>
    <row r="523" spans="6:7" x14ac:dyDescent="0.2">
      <c r="F523" s="6"/>
      <c r="G523" s="6"/>
    </row>
    <row r="524" spans="6:7" x14ac:dyDescent="0.2">
      <c r="F524" s="6"/>
      <c r="G524" s="6"/>
    </row>
    <row r="525" spans="6:7" x14ac:dyDescent="0.2">
      <c r="F525" s="6"/>
      <c r="G525" s="6"/>
    </row>
    <row r="526" spans="6:7" x14ac:dyDescent="0.2">
      <c r="F526" s="6"/>
      <c r="G526" s="6"/>
    </row>
    <row r="527" spans="6:7" x14ac:dyDescent="0.2">
      <c r="F527" s="6"/>
      <c r="G527" s="6"/>
    </row>
    <row r="528" spans="6:7" x14ac:dyDescent="0.2">
      <c r="F528" s="6"/>
      <c r="G528" s="6"/>
    </row>
    <row r="529" spans="6:7" x14ac:dyDescent="0.2">
      <c r="F529" s="6"/>
      <c r="G529" s="6"/>
    </row>
    <row r="530" spans="6:7" x14ac:dyDescent="0.2">
      <c r="F530" s="6"/>
      <c r="G530" s="6"/>
    </row>
    <row r="531" spans="6:7" x14ac:dyDescent="0.2">
      <c r="F531" s="6"/>
      <c r="G531" s="6"/>
    </row>
    <row r="532" spans="6:7" x14ac:dyDescent="0.2">
      <c r="F532" s="6"/>
      <c r="G532" s="6"/>
    </row>
    <row r="533" spans="6:7" x14ac:dyDescent="0.2">
      <c r="F533" s="6"/>
      <c r="G533" s="6"/>
    </row>
    <row r="534" spans="6:7" x14ac:dyDescent="0.2">
      <c r="F534" s="6"/>
      <c r="G534" s="6"/>
    </row>
    <row r="535" spans="6:7" x14ac:dyDescent="0.2">
      <c r="F535" s="6"/>
      <c r="G535" s="6"/>
    </row>
    <row r="536" spans="6:7" x14ac:dyDescent="0.2">
      <c r="F536" s="6"/>
      <c r="G536" s="6"/>
    </row>
    <row r="537" spans="6:7" x14ac:dyDescent="0.2">
      <c r="F537" s="6"/>
      <c r="G537" s="6"/>
    </row>
    <row r="538" spans="6:7" x14ac:dyDescent="0.2">
      <c r="F538" s="6"/>
      <c r="G538" s="6"/>
    </row>
    <row r="539" spans="6:7" x14ac:dyDescent="0.2">
      <c r="F539" s="6"/>
      <c r="G539" s="6"/>
    </row>
    <row r="540" spans="6:7" x14ac:dyDescent="0.2">
      <c r="F540" s="6"/>
      <c r="G540" s="6"/>
    </row>
    <row r="541" spans="6:7" x14ac:dyDescent="0.2">
      <c r="F541" s="6"/>
      <c r="G541" s="6"/>
    </row>
    <row r="542" spans="6:7" x14ac:dyDescent="0.2">
      <c r="F542" s="6"/>
      <c r="G542" s="6"/>
    </row>
    <row r="543" spans="6:7" x14ac:dyDescent="0.2">
      <c r="F543" s="6"/>
      <c r="G543" s="6"/>
    </row>
    <row r="544" spans="6:7" x14ac:dyDescent="0.2">
      <c r="F544" s="6"/>
      <c r="G544" s="6"/>
    </row>
    <row r="545" spans="6:7" x14ac:dyDescent="0.2">
      <c r="F545" s="6"/>
      <c r="G545" s="6"/>
    </row>
    <row r="546" spans="6:7" x14ac:dyDescent="0.2">
      <c r="F546" s="6"/>
      <c r="G546" s="6"/>
    </row>
    <row r="547" spans="6:7" x14ac:dyDescent="0.2">
      <c r="F547" s="6"/>
      <c r="G547" s="6"/>
    </row>
    <row r="548" spans="6:7" x14ac:dyDescent="0.2">
      <c r="F548" s="6"/>
      <c r="G548" s="6"/>
    </row>
    <row r="549" spans="6:7" x14ac:dyDescent="0.2">
      <c r="F549" s="6"/>
      <c r="G549" s="6"/>
    </row>
    <row r="550" spans="6:7" x14ac:dyDescent="0.2">
      <c r="F550" s="6"/>
      <c r="G550" s="6"/>
    </row>
    <row r="551" spans="6:7" x14ac:dyDescent="0.2">
      <c r="F551" s="6"/>
      <c r="G551" s="6"/>
    </row>
    <row r="552" spans="6:7" x14ac:dyDescent="0.2">
      <c r="F552" s="6"/>
      <c r="G552" s="6"/>
    </row>
    <row r="553" spans="6:7" x14ac:dyDescent="0.2">
      <c r="F553" s="6"/>
      <c r="G553" s="6"/>
    </row>
    <row r="554" spans="6:7" x14ac:dyDescent="0.2">
      <c r="F554" s="6"/>
      <c r="G554" s="6"/>
    </row>
    <row r="555" spans="6:7" x14ac:dyDescent="0.2">
      <c r="F555" s="6"/>
      <c r="G555" s="6"/>
    </row>
    <row r="556" spans="6:7" x14ac:dyDescent="0.2">
      <c r="F556" s="6"/>
      <c r="G556" s="6"/>
    </row>
    <row r="557" spans="6:7" x14ac:dyDescent="0.2">
      <c r="F557" s="6"/>
      <c r="G557" s="6"/>
    </row>
    <row r="558" spans="6:7" x14ac:dyDescent="0.2">
      <c r="F558" s="6"/>
      <c r="G558" s="6"/>
    </row>
    <row r="559" spans="6:7" x14ac:dyDescent="0.2">
      <c r="F559" s="6"/>
      <c r="G559" s="6"/>
    </row>
    <row r="560" spans="6:7" x14ac:dyDescent="0.2">
      <c r="F560" s="6"/>
      <c r="G560" s="6"/>
    </row>
    <row r="561" spans="6:7" x14ac:dyDescent="0.2">
      <c r="F561" s="6"/>
      <c r="G561" s="6"/>
    </row>
    <row r="562" spans="6:7" x14ac:dyDescent="0.2">
      <c r="F562" s="6"/>
      <c r="G562" s="6"/>
    </row>
    <row r="563" spans="6:7" x14ac:dyDescent="0.2">
      <c r="F563" s="6"/>
      <c r="G563" s="6"/>
    </row>
    <row r="564" spans="6:7" x14ac:dyDescent="0.2">
      <c r="F564" s="6"/>
      <c r="G564" s="6"/>
    </row>
    <row r="565" spans="6:7" x14ac:dyDescent="0.2">
      <c r="F565" s="6"/>
      <c r="G565" s="6"/>
    </row>
    <row r="566" spans="6:7" x14ac:dyDescent="0.2">
      <c r="F566" s="6"/>
      <c r="G566" s="6"/>
    </row>
    <row r="567" spans="6:7" x14ac:dyDescent="0.2">
      <c r="F567" s="6"/>
      <c r="G567" s="6"/>
    </row>
    <row r="568" spans="6:7" x14ac:dyDescent="0.2">
      <c r="F568" s="6"/>
      <c r="G568" s="6"/>
    </row>
    <row r="569" spans="6:7" x14ac:dyDescent="0.2">
      <c r="F569" s="6"/>
      <c r="G569" s="6"/>
    </row>
    <row r="570" spans="6:7" x14ac:dyDescent="0.2">
      <c r="F570" s="6"/>
      <c r="G570" s="6"/>
    </row>
    <row r="571" spans="6:7" x14ac:dyDescent="0.2">
      <c r="F571" s="6"/>
      <c r="G571" s="6"/>
    </row>
    <row r="572" spans="6:7" x14ac:dyDescent="0.2">
      <c r="F572" s="6"/>
      <c r="G572" s="6"/>
    </row>
    <row r="573" spans="6:7" x14ac:dyDescent="0.2">
      <c r="F573" s="6"/>
      <c r="G573" s="6"/>
    </row>
    <row r="574" spans="6:7" x14ac:dyDescent="0.2">
      <c r="F574" s="6"/>
      <c r="G574" s="6"/>
    </row>
    <row r="575" spans="6:7" x14ac:dyDescent="0.2">
      <c r="F575" s="6"/>
      <c r="G575" s="6"/>
    </row>
    <row r="576" spans="6:7" x14ac:dyDescent="0.2">
      <c r="F576" s="6"/>
      <c r="G576" s="6"/>
    </row>
    <row r="577" spans="6:7" x14ac:dyDescent="0.2">
      <c r="F577" s="6"/>
      <c r="G577" s="6"/>
    </row>
    <row r="578" spans="6:7" x14ac:dyDescent="0.2">
      <c r="F578" s="6"/>
      <c r="G578" s="6"/>
    </row>
    <row r="579" spans="6:7" x14ac:dyDescent="0.2">
      <c r="F579" s="6"/>
      <c r="G579" s="6"/>
    </row>
    <row r="580" spans="6:7" x14ac:dyDescent="0.2">
      <c r="F580" s="6"/>
      <c r="G580" s="6"/>
    </row>
    <row r="581" spans="6:7" x14ac:dyDescent="0.2">
      <c r="F581" s="6"/>
      <c r="G581" s="6"/>
    </row>
    <row r="582" spans="6:7" x14ac:dyDescent="0.2">
      <c r="F582" s="6"/>
      <c r="G582" s="6"/>
    </row>
    <row r="583" spans="6:7" x14ac:dyDescent="0.2">
      <c r="F583" s="6"/>
      <c r="G583" s="6"/>
    </row>
    <row r="584" spans="6:7" x14ac:dyDescent="0.2">
      <c r="F584" s="6"/>
      <c r="G584" s="6"/>
    </row>
    <row r="585" spans="6:7" x14ac:dyDescent="0.2">
      <c r="F585" s="6"/>
      <c r="G585" s="6"/>
    </row>
    <row r="586" spans="6:7" x14ac:dyDescent="0.2">
      <c r="F586" s="6"/>
      <c r="G586" s="6"/>
    </row>
    <row r="587" spans="6:7" x14ac:dyDescent="0.2">
      <c r="F587" s="6"/>
      <c r="G587" s="6"/>
    </row>
    <row r="588" spans="6:7" x14ac:dyDescent="0.2">
      <c r="F588" s="6"/>
      <c r="G588" s="6"/>
    </row>
    <row r="589" spans="6:7" x14ac:dyDescent="0.2">
      <c r="F589" s="6"/>
      <c r="G589" s="6"/>
    </row>
    <row r="590" spans="6:7" x14ac:dyDescent="0.2">
      <c r="F590" s="6"/>
      <c r="G590" s="6"/>
    </row>
    <row r="591" spans="6:7" x14ac:dyDescent="0.2">
      <c r="F591" s="6"/>
      <c r="G591" s="6"/>
    </row>
    <row r="592" spans="6:7" x14ac:dyDescent="0.2">
      <c r="F592" s="6"/>
      <c r="G592" s="6"/>
    </row>
    <row r="593" spans="6:7" x14ac:dyDescent="0.2">
      <c r="F593" s="6"/>
      <c r="G593" s="6"/>
    </row>
    <row r="594" spans="6:7" x14ac:dyDescent="0.2">
      <c r="F594" s="6"/>
      <c r="G594" s="6"/>
    </row>
    <row r="595" spans="6:7" x14ac:dyDescent="0.2">
      <c r="F595" s="6"/>
      <c r="G595" s="6"/>
    </row>
    <row r="596" spans="6:7" x14ac:dyDescent="0.2">
      <c r="F596" s="6"/>
      <c r="G596" s="6"/>
    </row>
    <row r="597" spans="6:7" x14ac:dyDescent="0.2">
      <c r="F597" s="6"/>
      <c r="G597" s="6"/>
    </row>
    <row r="598" spans="6:7" x14ac:dyDescent="0.2">
      <c r="F598" s="6"/>
      <c r="G598" s="6"/>
    </row>
    <row r="599" spans="6:7" x14ac:dyDescent="0.2">
      <c r="F599" s="6"/>
      <c r="G599" s="6"/>
    </row>
    <row r="600" spans="6:7" x14ac:dyDescent="0.2">
      <c r="F600" s="6"/>
      <c r="G600" s="6"/>
    </row>
    <row r="601" spans="6:7" x14ac:dyDescent="0.2">
      <c r="F601" s="6"/>
      <c r="G601" s="6"/>
    </row>
    <row r="602" spans="6:7" x14ac:dyDescent="0.2">
      <c r="F602" s="6"/>
      <c r="G602" s="6"/>
    </row>
    <row r="603" spans="6:7" x14ac:dyDescent="0.2">
      <c r="F603" s="6"/>
      <c r="G603" s="6"/>
    </row>
    <row r="604" spans="6:7" x14ac:dyDescent="0.2">
      <c r="F604" s="6"/>
      <c r="G604" s="6"/>
    </row>
    <row r="605" spans="6:7" x14ac:dyDescent="0.2">
      <c r="F605" s="6"/>
      <c r="G605" s="6"/>
    </row>
    <row r="606" spans="6:7" x14ac:dyDescent="0.2">
      <c r="F606" s="6"/>
      <c r="G606" s="6"/>
    </row>
    <row r="607" spans="6:7" x14ac:dyDescent="0.2">
      <c r="F607" s="6"/>
      <c r="G607" s="6"/>
    </row>
    <row r="608" spans="6:7" x14ac:dyDescent="0.2">
      <c r="F608" s="6"/>
      <c r="G608" s="6"/>
    </row>
    <row r="609" spans="6:7" x14ac:dyDescent="0.2">
      <c r="F609" s="6"/>
      <c r="G609" s="6"/>
    </row>
    <row r="610" spans="6:7" x14ac:dyDescent="0.2">
      <c r="F610" s="6"/>
      <c r="G610" s="6"/>
    </row>
    <row r="611" spans="6:7" x14ac:dyDescent="0.2">
      <c r="F611" s="6"/>
      <c r="G611" s="6"/>
    </row>
    <row r="612" spans="6:7" x14ac:dyDescent="0.2">
      <c r="F612" s="6"/>
      <c r="G612" s="6"/>
    </row>
    <row r="613" spans="6:7" x14ac:dyDescent="0.2">
      <c r="F613" s="6"/>
      <c r="G613" s="6"/>
    </row>
    <row r="614" spans="6:7" x14ac:dyDescent="0.2">
      <c r="F614" s="6"/>
      <c r="G614" s="6"/>
    </row>
    <row r="615" spans="6:7" x14ac:dyDescent="0.2">
      <c r="F615" s="6"/>
      <c r="G615" s="6"/>
    </row>
    <row r="616" spans="6:7" x14ac:dyDescent="0.2">
      <c r="F616" s="6"/>
      <c r="G616" s="6"/>
    </row>
    <row r="617" spans="6:7" x14ac:dyDescent="0.2">
      <c r="F617" s="6"/>
      <c r="G617" s="6"/>
    </row>
    <row r="618" spans="6:7" x14ac:dyDescent="0.2">
      <c r="F618" s="6"/>
      <c r="G618" s="6"/>
    </row>
    <row r="619" spans="6:7" x14ac:dyDescent="0.2">
      <c r="F619" s="6"/>
      <c r="G619" s="6"/>
    </row>
    <row r="620" spans="6:7" x14ac:dyDescent="0.2">
      <c r="F620" s="6"/>
      <c r="G620" s="6"/>
    </row>
    <row r="621" spans="6:7" x14ac:dyDescent="0.2">
      <c r="F621" s="6"/>
      <c r="G621" s="6"/>
    </row>
    <row r="622" spans="6:7" x14ac:dyDescent="0.2">
      <c r="F622" s="6"/>
      <c r="G622" s="6"/>
    </row>
    <row r="623" spans="6:7" x14ac:dyDescent="0.2">
      <c r="F623" s="6"/>
      <c r="G623" s="6"/>
    </row>
    <row r="624" spans="6:7" x14ac:dyDescent="0.2">
      <c r="F624" s="6"/>
      <c r="G624" s="6"/>
    </row>
    <row r="625" spans="6:7" x14ac:dyDescent="0.2">
      <c r="F625" s="6"/>
      <c r="G625" s="6"/>
    </row>
    <row r="626" spans="6:7" x14ac:dyDescent="0.2">
      <c r="F626" s="6"/>
      <c r="G626" s="6"/>
    </row>
    <row r="627" spans="6:7" x14ac:dyDescent="0.2">
      <c r="F627" s="6"/>
      <c r="G627" s="6"/>
    </row>
    <row r="628" spans="6:7" x14ac:dyDescent="0.2">
      <c r="F628" s="6"/>
      <c r="G628" s="6"/>
    </row>
    <row r="629" spans="6:7" x14ac:dyDescent="0.2">
      <c r="F629" s="6"/>
      <c r="G629" s="6"/>
    </row>
    <row r="630" spans="6:7" x14ac:dyDescent="0.2">
      <c r="F630" s="6"/>
      <c r="G630" s="6"/>
    </row>
    <row r="631" spans="6:7" x14ac:dyDescent="0.2">
      <c r="F631" s="6"/>
      <c r="G631" s="6"/>
    </row>
    <row r="632" spans="6:7" x14ac:dyDescent="0.2">
      <c r="F632" s="6"/>
      <c r="G632" s="6"/>
    </row>
    <row r="633" spans="6:7" x14ac:dyDescent="0.2">
      <c r="F633" s="6"/>
      <c r="G633" s="6"/>
    </row>
    <row r="634" spans="6:7" x14ac:dyDescent="0.2">
      <c r="F634" s="6"/>
      <c r="G634" s="6"/>
    </row>
    <row r="635" spans="6:7" x14ac:dyDescent="0.2">
      <c r="F635" s="6"/>
      <c r="G635" s="6"/>
    </row>
    <row r="636" spans="6:7" x14ac:dyDescent="0.2">
      <c r="F636" s="6"/>
      <c r="G636" s="6"/>
    </row>
    <row r="637" spans="6:7" x14ac:dyDescent="0.2">
      <c r="F637" s="6"/>
      <c r="G637" s="6"/>
    </row>
    <row r="638" spans="6:7" x14ac:dyDescent="0.2">
      <c r="F638" s="6"/>
      <c r="G638" s="6"/>
    </row>
    <row r="639" spans="6:7" x14ac:dyDescent="0.2">
      <c r="F639" s="6"/>
      <c r="G639" s="6"/>
    </row>
    <row r="640" spans="6:7" x14ac:dyDescent="0.2">
      <c r="F640" s="6"/>
      <c r="G640" s="6"/>
    </row>
    <row r="641" spans="6:7" x14ac:dyDescent="0.2">
      <c r="F641" s="6"/>
      <c r="G641" s="6"/>
    </row>
    <row r="642" spans="6:7" x14ac:dyDescent="0.2">
      <c r="F642" s="6"/>
      <c r="G642" s="6"/>
    </row>
    <row r="643" spans="6:7" x14ac:dyDescent="0.2">
      <c r="F643" s="6"/>
      <c r="G643" s="6"/>
    </row>
    <row r="644" spans="6:7" x14ac:dyDescent="0.2">
      <c r="F644" s="6"/>
      <c r="G644" s="6"/>
    </row>
    <row r="645" spans="6:7" x14ac:dyDescent="0.2">
      <c r="F645" s="6"/>
      <c r="G645" s="6"/>
    </row>
    <row r="646" spans="6:7" x14ac:dyDescent="0.2">
      <c r="F646" s="6"/>
      <c r="G646" s="6"/>
    </row>
    <row r="647" spans="6:7" x14ac:dyDescent="0.2">
      <c r="F647" s="6"/>
      <c r="G647" s="6"/>
    </row>
    <row r="648" spans="6:7" x14ac:dyDescent="0.2">
      <c r="F648" s="6"/>
      <c r="G648" s="6"/>
    </row>
    <row r="649" spans="6:7" x14ac:dyDescent="0.2">
      <c r="F649" s="6"/>
      <c r="G649" s="6"/>
    </row>
    <row r="650" spans="6:7" x14ac:dyDescent="0.2">
      <c r="F650" s="6"/>
      <c r="G650" s="6"/>
    </row>
    <row r="651" spans="6:7" x14ac:dyDescent="0.2">
      <c r="F651" s="6"/>
      <c r="G651" s="6"/>
    </row>
    <row r="652" spans="6:7" x14ac:dyDescent="0.2">
      <c r="F652" s="6"/>
      <c r="G652" s="6"/>
    </row>
    <row r="653" spans="6:7" x14ac:dyDescent="0.2">
      <c r="F653" s="6"/>
      <c r="G653" s="6"/>
    </row>
    <row r="654" spans="6:7" x14ac:dyDescent="0.2">
      <c r="F654" s="6"/>
      <c r="G654" s="6"/>
    </row>
    <row r="655" spans="6:7" x14ac:dyDescent="0.2">
      <c r="F655" s="6"/>
      <c r="G655" s="6"/>
    </row>
    <row r="656" spans="6:7" x14ac:dyDescent="0.2">
      <c r="F656" s="6"/>
      <c r="G656" s="6"/>
    </row>
    <row r="657" spans="6:7" x14ac:dyDescent="0.2">
      <c r="F657" s="6"/>
      <c r="G657" s="6"/>
    </row>
    <row r="658" spans="6:7" x14ac:dyDescent="0.2">
      <c r="F658" s="6"/>
      <c r="G658" s="6"/>
    </row>
    <row r="659" spans="6:7" x14ac:dyDescent="0.2">
      <c r="F659" s="6"/>
      <c r="G659" s="6"/>
    </row>
    <row r="660" spans="6:7" x14ac:dyDescent="0.2">
      <c r="F660" s="6"/>
      <c r="G660" s="6"/>
    </row>
    <row r="661" spans="6:7" x14ac:dyDescent="0.2">
      <c r="F661" s="6"/>
      <c r="G661" s="6"/>
    </row>
    <row r="662" spans="6:7" x14ac:dyDescent="0.2">
      <c r="F662" s="6"/>
      <c r="G662" s="6"/>
    </row>
    <row r="663" spans="6:7" x14ac:dyDescent="0.2">
      <c r="F663" s="6"/>
      <c r="G663" s="6"/>
    </row>
    <row r="664" spans="6:7" x14ac:dyDescent="0.2">
      <c r="F664" s="6"/>
      <c r="G664" s="6"/>
    </row>
    <row r="665" spans="6:7" x14ac:dyDescent="0.2">
      <c r="F665" s="6"/>
      <c r="G665" s="6"/>
    </row>
    <row r="666" spans="6:7" x14ac:dyDescent="0.2">
      <c r="F666" s="6"/>
      <c r="G666" s="6"/>
    </row>
    <row r="667" spans="6:7" x14ac:dyDescent="0.2">
      <c r="F667" s="6"/>
      <c r="G667" s="6"/>
    </row>
    <row r="668" spans="6:7" x14ac:dyDescent="0.2">
      <c r="F668" s="6"/>
      <c r="G668" s="6"/>
    </row>
    <row r="669" spans="6:7" x14ac:dyDescent="0.2">
      <c r="F669" s="6"/>
      <c r="G669" s="6"/>
    </row>
    <row r="670" spans="6:7" x14ac:dyDescent="0.2">
      <c r="F670" s="6"/>
      <c r="G670" s="6"/>
    </row>
    <row r="671" spans="6:7" x14ac:dyDescent="0.2">
      <c r="F671" s="6"/>
      <c r="G671" s="6"/>
    </row>
    <row r="672" spans="6:7" x14ac:dyDescent="0.2">
      <c r="F672" s="6"/>
      <c r="G672" s="6"/>
    </row>
    <row r="673" spans="6:7" x14ac:dyDescent="0.2">
      <c r="F673" s="6"/>
      <c r="G673" s="6"/>
    </row>
    <row r="674" spans="6:7" x14ac:dyDescent="0.2">
      <c r="F674" s="6"/>
      <c r="G674" s="6"/>
    </row>
    <row r="675" spans="6:7" x14ac:dyDescent="0.2">
      <c r="F675" s="6"/>
      <c r="G675" s="6"/>
    </row>
    <row r="676" spans="6:7" x14ac:dyDescent="0.2">
      <c r="F676" s="6"/>
      <c r="G676" s="6"/>
    </row>
    <row r="677" spans="6:7" x14ac:dyDescent="0.2">
      <c r="F677" s="6"/>
      <c r="G677" s="6"/>
    </row>
    <row r="678" spans="6:7" x14ac:dyDescent="0.2">
      <c r="F678" s="6"/>
      <c r="G678" s="6"/>
    </row>
    <row r="679" spans="6:7" x14ac:dyDescent="0.2">
      <c r="F679" s="6"/>
      <c r="G679" s="6"/>
    </row>
    <row r="680" spans="6:7" x14ac:dyDescent="0.2">
      <c r="F680" s="6"/>
      <c r="G680" s="6"/>
    </row>
    <row r="681" spans="6:7" x14ac:dyDescent="0.2">
      <c r="F681" s="6"/>
      <c r="G681" s="6"/>
    </row>
    <row r="682" spans="6:7" x14ac:dyDescent="0.2">
      <c r="F682" s="6"/>
      <c r="G682" s="6"/>
    </row>
    <row r="683" spans="6:7" x14ac:dyDescent="0.2">
      <c r="F683" s="6"/>
      <c r="G683" s="6"/>
    </row>
    <row r="684" spans="6:7" x14ac:dyDescent="0.2">
      <c r="F684" s="6"/>
      <c r="G684" s="6"/>
    </row>
    <row r="685" spans="6:7" x14ac:dyDescent="0.2">
      <c r="F685" s="6"/>
      <c r="G685" s="6"/>
    </row>
    <row r="686" spans="6:7" x14ac:dyDescent="0.2">
      <c r="F686" s="6"/>
      <c r="G686" s="6"/>
    </row>
    <row r="687" spans="6:7" x14ac:dyDescent="0.2">
      <c r="F687" s="6"/>
      <c r="G687" s="6"/>
    </row>
    <row r="688" spans="6:7" x14ac:dyDescent="0.2">
      <c r="F688" s="6"/>
      <c r="G688" s="6"/>
    </row>
    <row r="689" spans="6:7" x14ac:dyDescent="0.2">
      <c r="F689" s="6"/>
      <c r="G689" s="6"/>
    </row>
    <row r="690" spans="6:7" x14ac:dyDescent="0.2">
      <c r="F690" s="6"/>
      <c r="G690" s="6"/>
    </row>
    <row r="691" spans="6:7" x14ac:dyDescent="0.2">
      <c r="F691" s="6"/>
      <c r="G691" s="6"/>
    </row>
    <row r="692" spans="6:7" x14ac:dyDescent="0.2">
      <c r="F692" s="6"/>
      <c r="G692" s="6"/>
    </row>
    <row r="693" spans="6:7" x14ac:dyDescent="0.2">
      <c r="F693" s="6"/>
      <c r="G693" s="6"/>
    </row>
    <row r="694" spans="6:7" x14ac:dyDescent="0.2">
      <c r="F694" s="6"/>
      <c r="G694" s="6"/>
    </row>
    <row r="695" spans="6:7" x14ac:dyDescent="0.2">
      <c r="F695" s="6"/>
      <c r="G695" s="6"/>
    </row>
    <row r="696" spans="6:7" x14ac:dyDescent="0.2">
      <c r="F696" s="6"/>
      <c r="G696" s="6"/>
    </row>
    <row r="697" spans="6:7" x14ac:dyDescent="0.2">
      <c r="F697" s="6"/>
      <c r="G697" s="6"/>
    </row>
    <row r="698" spans="6:7" x14ac:dyDescent="0.2">
      <c r="F698" s="6"/>
      <c r="G698" s="6"/>
    </row>
    <row r="699" spans="6:7" x14ac:dyDescent="0.2">
      <c r="F699" s="6"/>
      <c r="G699" s="6"/>
    </row>
    <row r="700" spans="6:7" x14ac:dyDescent="0.2">
      <c r="F700" s="6"/>
      <c r="G700" s="6"/>
    </row>
    <row r="701" spans="6:7" x14ac:dyDescent="0.2">
      <c r="F701" s="6"/>
      <c r="G701" s="6"/>
    </row>
    <row r="702" spans="6:7" x14ac:dyDescent="0.2">
      <c r="F702" s="6"/>
      <c r="G702" s="6"/>
    </row>
    <row r="703" spans="6:7" x14ac:dyDescent="0.2">
      <c r="F703" s="6"/>
      <c r="G703" s="6"/>
    </row>
    <row r="704" spans="6:7" x14ac:dyDescent="0.2">
      <c r="F704" s="6"/>
      <c r="G704" s="6"/>
    </row>
    <row r="705" spans="6:7" x14ac:dyDescent="0.2">
      <c r="F705" s="6"/>
      <c r="G705" s="6"/>
    </row>
    <row r="706" spans="6:7" x14ac:dyDescent="0.2">
      <c r="F706" s="6"/>
      <c r="G706" s="6"/>
    </row>
    <row r="707" spans="6:7" x14ac:dyDescent="0.2">
      <c r="F707" s="6"/>
      <c r="G707" s="6"/>
    </row>
    <row r="708" spans="6:7" x14ac:dyDescent="0.2">
      <c r="F708" s="6"/>
      <c r="G708" s="6"/>
    </row>
    <row r="709" spans="6:7" x14ac:dyDescent="0.2">
      <c r="F709" s="6"/>
      <c r="G709" s="6"/>
    </row>
    <row r="710" spans="6:7" x14ac:dyDescent="0.2">
      <c r="F710" s="6"/>
      <c r="G710" s="6"/>
    </row>
    <row r="711" spans="6:7" x14ac:dyDescent="0.2">
      <c r="F711" s="6"/>
      <c r="G711" s="6"/>
    </row>
    <row r="712" spans="6:7" x14ac:dyDescent="0.2">
      <c r="F712" s="6"/>
      <c r="G712" s="6"/>
    </row>
    <row r="713" spans="6:7" x14ac:dyDescent="0.2">
      <c r="F713" s="6"/>
      <c r="G713" s="6"/>
    </row>
    <row r="714" spans="6:7" x14ac:dyDescent="0.2">
      <c r="F714" s="6"/>
      <c r="G714" s="6"/>
    </row>
    <row r="715" spans="6:7" x14ac:dyDescent="0.2">
      <c r="F715" s="6"/>
      <c r="G715" s="6"/>
    </row>
    <row r="716" spans="6:7" x14ac:dyDescent="0.2">
      <c r="F716" s="6"/>
      <c r="G716" s="6"/>
    </row>
    <row r="717" spans="6:7" x14ac:dyDescent="0.2">
      <c r="F717" s="6"/>
      <c r="G717" s="6"/>
    </row>
    <row r="718" spans="6:7" x14ac:dyDescent="0.2">
      <c r="F718" s="6"/>
      <c r="G718" s="6"/>
    </row>
    <row r="719" spans="6:7" x14ac:dyDescent="0.2">
      <c r="F719" s="6"/>
      <c r="G719" s="6"/>
    </row>
    <row r="720" spans="6:7" x14ac:dyDescent="0.2">
      <c r="F720" s="6"/>
      <c r="G720" s="6"/>
    </row>
    <row r="721" spans="6:7" x14ac:dyDescent="0.2">
      <c r="F721" s="6"/>
      <c r="G721" s="6"/>
    </row>
    <row r="722" spans="6:7" x14ac:dyDescent="0.2">
      <c r="F722" s="6"/>
      <c r="G722" s="6"/>
    </row>
    <row r="723" spans="6:7" x14ac:dyDescent="0.2">
      <c r="F723" s="6"/>
      <c r="G723" s="6"/>
    </row>
    <row r="724" spans="6:7" x14ac:dyDescent="0.2">
      <c r="F724" s="6"/>
      <c r="G724" s="6"/>
    </row>
    <row r="725" spans="6:7" x14ac:dyDescent="0.2">
      <c r="F725" s="6"/>
      <c r="G725" s="6"/>
    </row>
    <row r="726" spans="6:7" x14ac:dyDescent="0.2">
      <c r="F726" s="6"/>
      <c r="G726" s="6"/>
    </row>
    <row r="727" spans="6:7" x14ac:dyDescent="0.2">
      <c r="F727" s="6"/>
      <c r="G727" s="6"/>
    </row>
    <row r="728" spans="6:7" x14ac:dyDescent="0.2">
      <c r="F728" s="6"/>
      <c r="G728" s="6"/>
    </row>
    <row r="729" spans="6:7" x14ac:dyDescent="0.2">
      <c r="F729" s="6"/>
      <c r="G729" s="6"/>
    </row>
    <row r="730" spans="6:7" x14ac:dyDescent="0.2">
      <c r="F730" s="6"/>
      <c r="G730" s="6"/>
    </row>
    <row r="731" spans="6:7" x14ac:dyDescent="0.2">
      <c r="F731" s="6"/>
      <c r="G731" s="6"/>
    </row>
    <row r="732" spans="6:7" x14ac:dyDescent="0.2">
      <c r="F732" s="6"/>
      <c r="G732" s="6"/>
    </row>
    <row r="733" spans="6:7" x14ac:dyDescent="0.2">
      <c r="F733" s="6"/>
      <c r="G733" s="6"/>
    </row>
    <row r="734" spans="6:7" x14ac:dyDescent="0.2">
      <c r="F734" s="6"/>
      <c r="G734" s="6"/>
    </row>
    <row r="735" spans="6:7" x14ac:dyDescent="0.2">
      <c r="F735" s="6"/>
      <c r="G735" s="6"/>
    </row>
    <row r="736" spans="6:7" x14ac:dyDescent="0.2">
      <c r="F736" s="6"/>
      <c r="G736" s="6"/>
    </row>
    <row r="737" spans="6:7" x14ac:dyDescent="0.2">
      <c r="F737" s="6"/>
      <c r="G737" s="6"/>
    </row>
    <row r="738" spans="6:7" x14ac:dyDescent="0.2">
      <c r="F738" s="6"/>
      <c r="G738" s="6"/>
    </row>
    <row r="739" spans="6:7" x14ac:dyDescent="0.2">
      <c r="F739" s="6"/>
      <c r="G739" s="6"/>
    </row>
    <row r="740" spans="6:7" x14ac:dyDescent="0.2">
      <c r="F740" s="6"/>
      <c r="G740" s="6"/>
    </row>
    <row r="741" spans="6:7" x14ac:dyDescent="0.2">
      <c r="F741" s="6"/>
      <c r="G741" s="6"/>
    </row>
    <row r="742" spans="6:7" x14ac:dyDescent="0.2">
      <c r="F742" s="6"/>
      <c r="G742" s="6"/>
    </row>
    <row r="743" spans="6:7" x14ac:dyDescent="0.2">
      <c r="F743" s="6"/>
      <c r="G743" s="6"/>
    </row>
    <row r="744" spans="6:7" x14ac:dyDescent="0.2">
      <c r="F744" s="6"/>
      <c r="G744" s="6"/>
    </row>
    <row r="745" spans="6:7" x14ac:dyDescent="0.2">
      <c r="F745" s="6"/>
      <c r="G745" s="6"/>
    </row>
    <row r="746" spans="6:7" x14ac:dyDescent="0.2">
      <c r="F746" s="6"/>
      <c r="G746" s="6"/>
    </row>
    <row r="747" spans="6:7" x14ac:dyDescent="0.2">
      <c r="F747" s="6"/>
      <c r="G747" s="6"/>
    </row>
    <row r="748" spans="6:7" x14ac:dyDescent="0.2">
      <c r="F748" s="6"/>
      <c r="G748" s="6"/>
    </row>
    <row r="749" spans="6:7" x14ac:dyDescent="0.2">
      <c r="F749" s="6"/>
      <c r="G749" s="6"/>
    </row>
    <row r="750" spans="6:7" x14ac:dyDescent="0.2">
      <c r="F750" s="6"/>
      <c r="G750" s="6"/>
    </row>
    <row r="751" spans="6:7" x14ac:dyDescent="0.2">
      <c r="F751" s="6"/>
      <c r="G751" s="6"/>
    </row>
    <row r="752" spans="6:7" x14ac:dyDescent="0.2">
      <c r="F752" s="6"/>
      <c r="G752" s="6"/>
    </row>
    <row r="753" spans="6:7" x14ac:dyDescent="0.2">
      <c r="F753" s="6"/>
      <c r="G753" s="6"/>
    </row>
    <row r="754" spans="6:7" x14ac:dyDescent="0.2">
      <c r="F754" s="6"/>
      <c r="G754" s="6"/>
    </row>
    <row r="755" spans="6:7" x14ac:dyDescent="0.2">
      <c r="F755" s="6"/>
      <c r="G755" s="6"/>
    </row>
    <row r="756" spans="6:7" x14ac:dyDescent="0.2">
      <c r="F756" s="6"/>
      <c r="G756" s="6"/>
    </row>
    <row r="757" spans="6:7" x14ac:dyDescent="0.2">
      <c r="F757" s="6"/>
      <c r="G757" s="6"/>
    </row>
    <row r="758" spans="6:7" x14ac:dyDescent="0.2">
      <c r="F758" s="6"/>
      <c r="G758" s="6"/>
    </row>
    <row r="759" spans="6:7" x14ac:dyDescent="0.2">
      <c r="F759" s="6"/>
      <c r="G759" s="6"/>
    </row>
    <row r="760" spans="6:7" x14ac:dyDescent="0.2">
      <c r="F760" s="6"/>
      <c r="G760" s="6"/>
    </row>
    <row r="761" spans="6:7" x14ac:dyDescent="0.2">
      <c r="F761" s="6"/>
      <c r="G761" s="6"/>
    </row>
    <row r="762" spans="6:7" x14ac:dyDescent="0.2">
      <c r="F762" s="6"/>
      <c r="G762" s="6"/>
    </row>
    <row r="763" spans="6:7" x14ac:dyDescent="0.2">
      <c r="F763" s="6"/>
      <c r="G763" s="6"/>
    </row>
    <row r="764" spans="6:7" x14ac:dyDescent="0.2">
      <c r="F764" s="6"/>
      <c r="G764" s="6"/>
    </row>
    <row r="765" spans="6:7" x14ac:dyDescent="0.2">
      <c r="F765" s="6"/>
      <c r="G765" s="6"/>
    </row>
    <row r="766" spans="6:7" x14ac:dyDescent="0.2">
      <c r="F766" s="6"/>
      <c r="G766" s="6"/>
    </row>
    <row r="767" spans="6:7" x14ac:dyDescent="0.2">
      <c r="F767" s="6"/>
      <c r="G767" s="6"/>
    </row>
    <row r="768" spans="6:7" x14ac:dyDescent="0.2">
      <c r="F768" s="6"/>
      <c r="G768" s="6"/>
    </row>
    <row r="769" spans="6:7" x14ac:dyDescent="0.2">
      <c r="F769" s="6"/>
      <c r="G769" s="6"/>
    </row>
    <row r="770" spans="6:7" x14ac:dyDescent="0.2">
      <c r="F770" s="6"/>
      <c r="G770" s="6"/>
    </row>
    <row r="771" spans="6:7" x14ac:dyDescent="0.2">
      <c r="F771" s="6"/>
      <c r="G771" s="6"/>
    </row>
    <row r="772" spans="6:7" x14ac:dyDescent="0.2">
      <c r="F772" s="6"/>
      <c r="G772" s="6"/>
    </row>
    <row r="773" spans="6:7" x14ac:dyDescent="0.2">
      <c r="F773" s="6"/>
      <c r="G773" s="6"/>
    </row>
    <row r="774" spans="6:7" x14ac:dyDescent="0.2">
      <c r="F774" s="6"/>
      <c r="G774" s="6"/>
    </row>
    <row r="775" spans="6:7" x14ac:dyDescent="0.2">
      <c r="F775" s="6"/>
      <c r="G775" s="6"/>
    </row>
    <row r="776" spans="6:7" x14ac:dyDescent="0.2">
      <c r="F776" s="6"/>
      <c r="G776" s="6"/>
    </row>
    <row r="777" spans="6:7" x14ac:dyDescent="0.2">
      <c r="F777" s="6"/>
      <c r="G777" s="6"/>
    </row>
    <row r="778" spans="6:7" x14ac:dyDescent="0.2">
      <c r="F778" s="6"/>
      <c r="G778" s="6"/>
    </row>
    <row r="779" spans="6:7" x14ac:dyDescent="0.2">
      <c r="F779" s="6"/>
      <c r="G779" s="6"/>
    </row>
    <row r="780" spans="6:7" x14ac:dyDescent="0.2">
      <c r="F780" s="6"/>
      <c r="G780" s="6"/>
    </row>
    <row r="781" spans="6:7" x14ac:dyDescent="0.2">
      <c r="F781" s="6"/>
      <c r="G781" s="6"/>
    </row>
    <row r="782" spans="6:7" x14ac:dyDescent="0.2">
      <c r="F782" s="6"/>
      <c r="G782" s="6"/>
    </row>
    <row r="783" spans="6:7" x14ac:dyDescent="0.2">
      <c r="F783" s="6"/>
      <c r="G783" s="6"/>
    </row>
    <row r="784" spans="6:7" x14ac:dyDescent="0.2">
      <c r="F784" s="6"/>
      <c r="G784" s="6"/>
    </row>
    <row r="785" spans="6:7" x14ac:dyDescent="0.2">
      <c r="F785" s="6"/>
      <c r="G785" s="6"/>
    </row>
    <row r="786" spans="6:7" x14ac:dyDescent="0.2">
      <c r="F786" s="6"/>
      <c r="G786" s="6"/>
    </row>
    <row r="787" spans="6:7" x14ac:dyDescent="0.2">
      <c r="F787" s="6"/>
      <c r="G787" s="6"/>
    </row>
    <row r="788" spans="6:7" x14ac:dyDescent="0.2">
      <c r="F788" s="6"/>
      <c r="G788" s="6"/>
    </row>
    <row r="789" spans="6:7" x14ac:dyDescent="0.2">
      <c r="F789" s="6"/>
      <c r="G789" s="6"/>
    </row>
    <row r="790" spans="6:7" x14ac:dyDescent="0.2">
      <c r="F790" s="6"/>
      <c r="G790" s="6"/>
    </row>
    <row r="791" spans="6:7" x14ac:dyDescent="0.2">
      <c r="F791" s="6"/>
      <c r="G791" s="6"/>
    </row>
    <row r="792" spans="6:7" x14ac:dyDescent="0.2">
      <c r="F792" s="6"/>
      <c r="G792" s="6"/>
    </row>
    <row r="793" spans="6:7" x14ac:dyDescent="0.2">
      <c r="F793" s="6"/>
      <c r="G793" s="6"/>
    </row>
    <row r="794" spans="6:7" x14ac:dyDescent="0.2">
      <c r="F794" s="6"/>
      <c r="G794" s="6"/>
    </row>
    <row r="795" spans="6:7" x14ac:dyDescent="0.2">
      <c r="F795" s="6"/>
      <c r="G795" s="6"/>
    </row>
    <row r="796" spans="6:7" x14ac:dyDescent="0.2">
      <c r="F796" s="6"/>
      <c r="G796" s="6"/>
    </row>
    <row r="797" spans="6:7" x14ac:dyDescent="0.2">
      <c r="F797" s="6"/>
      <c r="G797" s="6"/>
    </row>
    <row r="798" spans="6:7" x14ac:dyDescent="0.2">
      <c r="F798" s="6"/>
      <c r="G798" s="6"/>
    </row>
    <row r="799" spans="6:7" x14ac:dyDescent="0.2">
      <c r="F799" s="6"/>
      <c r="G799" s="6"/>
    </row>
    <row r="800" spans="6:7" x14ac:dyDescent="0.2">
      <c r="F800" s="6"/>
      <c r="G800" s="6"/>
    </row>
    <row r="801" spans="6:7" x14ac:dyDescent="0.2">
      <c r="F801" s="6"/>
      <c r="G801" s="6"/>
    </row>
    <row r="802" spans="6:7" x14ac:dyDescent="0.2">
      <c r="F802" s="6"/>
      <c r="G802" s="6"/>
    </row>
    <row r="803" spans="6:7" x14ac:dyDescent="0.2">
      <c r="F803" s="6"/>
      <c r="G803" s="6"/>
    </row>
    <row r="804" spans="6:7" x14ac:dyDescent="0.2">
      <c r="F804" s="6"/>
      <c r="G804" s="6"/>
    </row>
    <row r="805" spans="6:7" x14ac:dyDescent="0.2">
      <c r="F805" s="6"/>
      <c r="G805" s="6"/>
    </row>
    <row r="806" spans="6:7" x14ac:dyDescent="0.2">
      <c r="F806" s="6"/>
      <c r="G806" s="6"/>
    </row>
    <row r="807" spans="6:7" x14ac:dyDescent="0.2">
      <c r="F807" s="6"/>
      <c r="G807" s="6"/>
    </row>
    <row r="808" spans="6:7" x14ac:dyDescent="0.2">
      <c r="F808" s="6"/>
      <c r="G808" s="6"/>
    </row>
    <row r="809" spans="6:7" x14ac:dyDescent="0.2">
      <c r="F809" s="6"/>
      <c r="G809" s="6"/>
    </row>
    <row r="810" spans="6:7" x14ac:dyDescent="0.2">
      <c r="F810" s="6"/>
      <c r="G810" s="6"/>
    </row>
    <row r="811" spans="6:7" x14ac:dyDescent="0.2">
      <c r="F811" s="6"/>
      <c r="G811" s="6"/>
    </row>
    <row r="812" spans="6:7" x14ac:dyDescent="0.2">
      <c r="F812" s="6"/>
      <c r="G812" s="6"/>
    </row>
    <row r="813" spans="6:7" x14ac:dyDescent="0.2">
      <c r="F813" s="6"/>
      <c r="G813" s="6"/>
    </row>
    <row r="814" spans="6:7" x14ac:dyDescent="0.2">
      <c r="F814" s="6"/>
      <c r="G814" s="6"/>
    </row>
    <row r="815" spans="6:7" x14ac:dyDescent="0.2">
      <c r="F815" s="6"/>
      <c r="G815" s="6"/>
    </row>
    <row r="816" spans="6:7" x14ac:dyDescent="0.2">
      <c r="F816" s="6"/>
      <c r="G816" s="6"/>
    </row>
    <row r="817" spans="6:7" x14ac:dyDescent="0.2">
      <c r="F817" s="6"/>
      <c r="G817" s="6"/>
    </row>
    <row r="818" spans="6:7" x14ac:dyDescent="0.2">
      <c r="F818" s="6"/>
      <c r="G818" s="6"/>
    </row>
    <row r="819" spans="6:7" x14ac:dyDescent="0.2">
      <c r="F819" s="6"/>
      <c r="G819" s="6"/>
    </row>
    <row r="820" spans="6:7" x14ac:dyDescent="0.2">
      <c r="F820" s="6"/>
      <c r="G820" s="6"/>
    </row>
    <row r="821" spans="6:7" x14ac:dyDescent="0.2">
      <c r="F821" s="6"/>
      <c r="G821" s="6"/>
    </row>
    <row r="822" spans="6:7" x14ac:dyDescent="0.2">
      <c r="F822" s="6"/>
      <c r="G822" s="6"/>
    </row>
    <row r="823" spans="6:7" x14ac:dyDescent="0.2">
      <c r="F823" s="6"/>
      <c r="G823" s="6"/>
    </row>
    <row r="824" spans="6:7" x14ac:dyDescent="0.2">
      <c r="F824" s="6"/>
      <c r="G824" s="6"/>
    </row>
    <row r="825" spans="6:7" x14ac:dyDescent="0.2">
      <c r="F825" s="6"/>
      <c r="G825" s="6"/>
    </row>
    <row r="826" spans="6:7" x14ac:dyDescent="0.2">
      <c r="F826" s="6"/>
      <c r="G826" s="6"/>
    </row>
    <row r="827" spans="6:7" x14ac:dyDescent="0.2">
      <c r="F827" s="6"/>
      <c r="G827" s="6"/>
    </row>
    <row r="828" spans="6:7" x14ac:dyDescent="0.2">
      <c r="F828" s="6"/>
      <c r="G828" s="6"/>
    </row>
    <row r="829" spans="6:7" x14ac:dyDescent="0.2">
      <c r="F829" s="6"/>
      <c r="G829" s="6"/>
    </row>
    <row r="830" spans="6:7" x14ac:dyDescent="0.2">
      <c r="F830" s="6"/>
      <c r="G830" s="6"/>
    </row>
    <row r="831" spans="6:7" x14ac:dyDescent="0.2">
      <c r="F831" s="6"/>
      <c r="G831" s="6"/>
    </row>
    <row r="832" spans="6:7" x14ac:dyDescent="0.2">
      <c r="F832" s="6"/>
      <c r="G832" s="6"/>
    </row>
    <row r="833" spans="6:7" x14ac:dyDescent="0.2">
      <c r="F833" s="6"/>
      <c r="G833" s="6"/>
    </row>
    <row r="834" spans="6:7" x14ac:dyDescent="0.2">
      <c r="F834" s="6"/>
      <c r="G834" s="6"/>
    </row>
    <row r="835" spans="6:7" x14ac:dyDescent="0.2">
      <c r="F835" s="6"/>
      <c r="G835" s="6"/>
    </row>
    <row r="836" spans="6:7" x14ac:dyDescent="0.2">
      <c r="F836" s="6"/>
      <c r="G836" s="6"/>
    </row>
    <row r="837" spans="6:7" x14ac:dyDescent="0.2">
      <c r="F837" s="6"/>
      <c r="G837" s="6"/>
    </row>
    <row r="838" spans="6:7" x14ac:dyDescent="0.2">
      <c r="F838" s="6"/>
      <c r="G838" s="6"/>
    </row>
    <row r="839" spans="6:7" x14ac:dyDescent="0.2">
      <c r="F839" s="6"/>
      <c r="G839" s="6"/>
    </row>
    <row r="840" spans="6:7" x14ac:dyDescent="0.2">
      <c r="F840" s="6"/>
      <c r="G840" s="6"/>
    </row>
    <row r="841" spans="6:7" x14ac:dyDescent="0.2">
      <c r="F841" s="6"/>
      <c r="G841" s="6"/>
    </row>
    <row r="842" spans="6:7" x14ac:dyDescent="0.2">
      <c r="F842" s="6"/>
      <c r="G842" s="6"/>
    </row>
    <row r="843" spans="6:7" x14ac:dyDescent="0.2">
      <c r="F843" s="6"/>
      <c r="G843" s="6"/>
    </row>
    <row r="844" spans="6:7" x14ac:dyDescent="0.2">
      <c r="F844" s="6"/>
      <c r="G844" s="6"/>
    </row>
    <row r="845" spans="6:7" x14ac:dyDescent="0.2">
      <c r="F845" s="6"/>
      <c r="G845" s="6"/>
    </row>
    <row r="846" spans="6:7" x14ac:dyDescent="0.2">
      <c r="F846" s="6"/>
      <c r="G846" s="6"/>
    </row>
    <row r="847" spans="6:7" x14ac:dyDescent="0.2">
      <c r="F847" s="6"/>
      <c r="G847" s="6"/>
    </row>
    <row r="848" spans="6:7" x14ac:dyDescent="0.2">
      <c r="F848" s="6"/>
      <c r="G848" s="6"/>
    </row>
    <row r="849" spans="6:7" x14ac:dyDescent="0.2">
      <c r="F849" s="6"/>
      <c r="G849" s="6"/>
    </row>
    <row r="850" spans="6:7" x14ac:dyDescent="0.2">
      <c r="F850" s="6"/>
      <c r="G850" s="6"/>
    </row>
    <row r="851" spans="6:7" x14ac:dyDescent="0.2">
      <c r="F851" s="6"/>
      <c r="G851" s="6"/>
    </row>
    <row r="852" spans="6:7" x14ac:dyDescent="0.2">
      <c r="F852" s="6"/>
      <c r="G852" s="6"/>
    </row>
    <row r="853" spans="6:7" x14ac:dyDescent="0.2">
      <c r="F853" s="6"/>
      <c r="G853" s="6"/>
    </row>
    <row r="854" spans="6:7" x14ac:dyDescent="0.2">
      <c r="F854" s="6"/>
      <c r="G854" s="6"/>
    </row>
    <row r="855" spans="6:7" x14ac:dyDescent="0.2">
      <c r="F855" s="6"/>
      <c r="G855" s="6"/>
    </row>
    <row r="856" spans="6:7" x14ac:dyDescent="0.2">
      <c r="F856" s="6"/>
      <c r="G856" s="6"/>
    </row>
    <row r="857" spans="6:7" x14ac:dyDescent="0.2">
      <c r="F857" s="6"/>
      <c r="G857" s="6"/>
    </row>
    <row r="858" spans="6:7" x14ac:dyDescent="0.2">
      <c r="F858" s="6"/>
      <c r="G858" s="6"/>
    </row>
    <row r="859" spans="6:7" x14ac:dyDescent="0.2">
      <c r="F859" s="6"/>
      <c r="G859" s="6"/>
    </row>
    <row r="860" spans="6:7" x14ac:dyDescent="0.2">
      <c r="F860" s="6"/>
      <c r="G860" s="6"/>
    </row>
    <row r="861" spans="6:7" x14ac:dyDescent="0.2">
      <c r="F861" s="6"/>
      <c r="G861" s="6"/>
    </row>
    <row r="862" spans="6:7" x14ac:dyDescent="0.2">
      <c r="F862" s="6"/>
      <c r="G862" s="6"/>
    </row>
    <row r="863" spans="6:7" x14ac:dyDescent="0.2">
      <c r="F863" s="6"/>
      <c r="G863" s="6"/>
    </row>
    <row r="864" spans="6:7" x14ac:dyDescent="0.2">
      <c r="F864" s="6"/>
      <c r="G864" s="6"/>
    </row>
    <row r="865" spans="6:7" x14ac:dyDescent="0.2">
      <c r="F865" s="6"/>
      <c r="G865" s="6"/>
    </row>
    <row r="866" spans="6:7" x14ac:dyDescent="0.2">
      <c r="F866" s="6"/>
      <c r="G866" s="6"/>
    </row>
    <row r="867" spans="6:7" x14ac:dyDescent="0.2">
      <c r="F867" s="6"/>
      <c r="G867" s="6"/>
    </row>
    <row r="868" spans="6:7" x14ac:dyDescent="0.2">
      <c r="F868" s="6"/>
      <c r="G868" s="6"/>
    </row>
    <row r="869" spans="6:7" x14ac:dyDescent="0.2">
      <c r="F869" s="6"/>
      <c r="G869" s="6"/>
    </row>
    <row r="870" spans="6:7" x14ac:dyDescent="0.2">
      <c r="F870" s="6"/>
      <c r="G870" s="6"/>
    </row>
    <row r="871" spans="6:7" x14ac:dyDescent="0.2">
      <c r="F871" s="6"/>
      <c r="G871" s="6"/>
    </row>
    <row r="872" spans="6:7" x14ac:dyDescent="0.2">
      <c r="F872" s="6"/>
      <c r="G872" s="6"/>
    </row>
    <row r="873" spans="6:7" x14ac:dyDescent="0.2">
      <c r="F873" s="6"/>
      <c r="G873" s="6"/>
    </row>
    <row r="874" spans="6:7" x14ac:dyDescent="0.2">
      <c r="F874" s="6"/>
      <c r="G874" s="6"/>
    </row>
    <row r="875" spans="6:7" x14ac:dyDescent="0.2">
      <c r="F875" s="6"/>
      <c r="G875" s="6"/>
    </row>
    <row r="876" spans="6:7" x14ac:dyDescent="0.2">
      <c r="F876" s="6"/>
      <c r="G876" s="6"/>
    </row>
    <row r="877" spans="6:7" x14ac:dyDescent="0.2">
      <c r="F877" s="6"/>
      <c r="G877" s="6"/>
    </row>
    <row r="878" spans="6:7" x14ac:dyDescent="0.2">
      <c r="F878" s="6"/>
      <c r="G878" s="6"/>
    </row>
    <row r="879" spans="6:7" x14ac:dyDescent="0.2">
      <c r="F879" s="6"/>
      <c r="G879" s="6"/>
    </row>
    <row r="880" spans="6:7" x14ac:dyDescent="0.2">
      <c r="F880" s="6"/>
      <c r="G880" s="6"/>
    </row>
    <row r="881" spans="6:7" x14ac:dyDescent="0.2">
      <c r="F881" s="6"/>
      <c r="G881" s="6"/>
    </row>
    <row r="882" spans="6:7" x14ac:dyDescent="0.2">
      <c r="F882" s="6"/>
      <c r="G882" s="6"/>
    </row>
    <row r="883" spans="6:7" x14ac:dyDescent="0.2">
      <c r="F883" s="6"/>
      <c r="G883" s="6"/>
    </row>
    <row r="884" spans="6:7" x14ac:dyDescent="0.2">
      <c r="F884" s="6"/>
      <c r="G884" s="6"/>
    </row>
    <row r="885" spans="6:7" x14ac:dyDescent="0.2">
      <c r="F885" s="6"/>
      <c r="G885" s="6"/>
    </row>
    <row r="886" spans="6:7" x14ac:dyDescent="0.2">
      <c r="F886" s="6"/>
      <c r="G886" s="6"/>
    </row>
    <row r="887" spans="6:7" x14ac:dyDescent="0.2">
      <c r="F887" s="6"/>
      <c r="G887" s="6"/>
    </row>
    <row r="888" spans="6:7" x14ac:dyDescent="0.2">
      <c r="F888" s="6"/>
      <c r="G888" s="6"/>
    </row>
    <row r="889" spans="6:7" x14ac:dyDescent="0.2">
      <c r="F889" s="6"/>
      <c r="G889" s="6"/>
    </row>
    <row r="890" spans="6:7" x14ac:dyDescent="0.2">
      <c r="F890" s="6"/>
      <c r="G890" s="6"/>
    </row>
    <row r="891" spans="6:7" x14ac:dyDescent="0.2">
      <c r="F891" s="6"/>
      <c r="G891" s="6"/>
    </row>
    <row r="892" spans="6:7" x14ac:dyDescent="0.2">
      <c r="F892" s="6"/>
      <c r="G892" s="6"/>
    </row>
    <row r="893" spans="6:7" x14ac:dyDescent="0.2">
      <c r="F893" s="6"/>
      <c r="G893" s="6"/>
    </row>
    <row r="894" spans="6:7" x14ac:dyDescent="0.2">
      <c r="F894" s="6"/>
      <c r="G894" s="6"/>
    </row>
    <row r="895" spans="6:7" x14ac:dyDescent="0.2">
      <c r="F895" s="6"/>
      <c r="G895" s="6"/>
    </row>
    <row r="896" spans="6:7" x14ac:dyDescent="0.2">
      <c r="F896" s="6"/>
      <c r="G896" s="6"/>
    </row>
    <row r="897" spans="6:7" x14ac:dyDescent="0.2">
      <c r="F897" s="6"/>
      <c r="G897" s="6"/>
    </row>
    <row r="898" spans="6:7" x14ac:dyDescent="0.2">
      <c r="F898" s="6"/>
      <c r="G898" s="6"/>
    </row>
    <row r="899" spans="6:7" x14ac:dyDescent="0.2">
      <c r="F899" s="6"/>
      <c r="G899" s="6"/>
    </row>
    <row r="900" spans="6:7" x14ac:dyDescent="0.2">
      <c r="F900" s="6"/>
      <c r="G900" s="6"/>
    </row>
    <row r="901" spans="6:7" x14ac:dyDescent="0.2">
      <c r="F901" s="6"/>
      <c r="G901" s="6"/>
    </row>
    <row r="902" spans="6:7" x14ac:dyDescent="0.2">
      <c r="F902" s="6"/>
      <c r="G902" s="6"/>
    </row>
    <row r="903" spans="6:7" x14ac:dyDescent="0.2">
      <c r="F903" s="6"/>
      <c r="G903" s="6"/>
    </row>
    <row r="904" spans="6:7" x14ac:dyDescent="0.2">
      <c r="F904" s="6"/>
      <c r="G904" s="6"/>
    </row>
    <row r="905" spans="6:7" x14ac:dyDescent="0.2">
      <c r="F905" s="6"/>
      <c r="G905" s="6"/>
    </row>
    <row r="906" spans="6:7" x14ac:dyDescent="0.2">
      <c r="F906" s="6"/>
      <c r="G906" s="6"/>
    </row>
    <row r="907" spans="6:7" x14ac:dyDescent="0.2">
      <c r="F907" s="6"/>
      <c r="G907" s="6"/>
    </row>
    <row r="908" spans="6:7" x14ac:dyDescent="0.2">
      <c r="F908" s="6"/>
      <c r="G908" s="6"/>
    </row>
    <row r="909" spans="6:7" x14ac:dyDescent="0.2">
      <c r="F909" s="6"/>
      <c r="G909" s="6"/>
    </row>
    <row r="910" spans="6:7" x14ac:dyDescent="0.2">
      <c r="F910" s="6"/>
      <c r="G910" s="6"/>
    </row>
    <row r="911" spans="6:7" x14ac:dyDescent="0.2">
      <c r="F911" s="6"/>
      <c r="G911" s="6"/>
    </row>
    <row r="912" spans="6:7" x14ac:dyDescent="0.2">
      <c r="F912" s="6"/>
      <c r="G912" s="6"/>
    </row>
    <row r="913" spans="6:7" x14ac:dyDescent="0.2">
      <c r="F913" s="6"/>
      <c r="G913" s="6"/>
    </row>
    <row r="914" spans="6:7" x14ac:dyDescent="0.2">
      <c r="F914" s="6"/>
      <c r="G914" s="6"/>
    </row>
    <row r="915" spans="6:7" x14ac:dyDescent="0.2">
      <c r="F915" s="6"/>
      <c r="G915" s="6"/>
    </row>
    <row r="916" spans="6:7" x14ac:dyDescent="0.2">
      <c r="F916" s="6"/>
      <c r="G916" s="6"/>
    </row>
    <row r="917" spans="6:7" x14ac:dyDescent="0.2">
      <c r="F917" s="6"/>
      <c r="G917" s="6"/>
    </row>
    <row r="918" spans="6:7" x14ac:dyDescent="0.2">
      <c r="F918" s="6"/>
      <c r="G918" s="6"/>
    </row>
    <row r="919" spans="6:7" x14ac:dyDescent="0.2">
      <c r="F919" s="6"/>
      <c r="G919" s="6"/>
    </row>
    <row r="920" spans="6:7" x14ac:dyDescent="0.2">
      <c r="F920" s="6"/>
      <c r="G920" s="6"/>
    </row>
    <row r="921" spans="6:7" x14ac:dyDescent="0.2">
      <c r="F921" s="6"/>
      <c r="G921" s="6"/>
    </row>
    <row r="922" spans="6:7" x14ac:dyDescent="0.2">
      <c r="F922" s="6"/>
      <c r="G922" s="6"/>
    </row>
    <row r="923" spans="6:7" x14ac:dyDescent="0.2">
      <c r="F923" s="6"/>
      <c r="G923" s="6"/>
    </row>
    <row r="924" spans="6:7" x14ac:dyDescent="0.2">
      <c r="F924" s="6"/>
      <c r="G924" s="6"/>
    </row>
    <row r="925" spans="6:7" x14ac:dyDescent="0.2">
      <c r="F925" s="6"/>
      <c r="G925" s="6"/>
    </row>
    <row r="926" spans="6:7" x14ac:dyDescent="0.2">
      <c r="F926" s="6"/>
      <c r="G926" s="6"/>
    </row>
    <row r="927" spans="6:7" x14ac:dyDescent="0.2">
      <c r="F927" s="6"/>
      <c r="G927" s="6"/>
    </row>
    <row r="928" spans="6:7" x14ac:dyDescent="0.2">
      <c r="F928" s="6"/>
      <c r="G928" s="6"/>
    </row>
    <row r="929" spans="6:7" x14ac:dyDescent="0.2">
      <c r="F929" s="6"/>
      <c r="G929" s="6"/>
    </row>
    <row r="930" spans="6:7" x14ac:dyDescent="0.2">
      <c r="F930" s="6"/>
      <c r="G930" s="6"/>
    </row>
    <row r="931" spans="6:7" x14ac:dyDescent="0.2">
      <c r="F931" s="6"/>
      <c r="G931" s="6"/>
    </row>
    <row r="932" spans="6:7" x14ac:dyDescent="0.2">
      <c r="F932" s="6"/>
      <c r="G932" s="6"/>
    </row>
    <row r="933" spans="6:7" x14ac:dyDescent="0.2">
      <c r="F933" s="6"/>
      <c r="G933" s="6"/>
    </row>
    <row r="934" spans="6:7" x14ac:dyDescent="0.2">
      <c r="F934" s="6"/>
      <c r="G934" s="6"/>
    </row>
    <row r="935" spans="6:7" x14ac:dyDescent="0.2">
      <c r="F935" s="6"/>
      <c r="G935" s="6"/>
    </row>
    <row r="936" spans="6:7" x14ac:dyDescent="0.2">
      <c r="F936" s="6"/>
      <c r="G936" s="6"/>
    </row>
    <row r="937" spans="6:7" x14ac:dyDescent="0.2">
      <c r="F937" s="6"/>
      <c r="G937" s="6"/>
    </row>
    <row r="938" spans="6:7" x14ac:dyDescent="0.2">
      <c r="F938" s="6"/>
      <c r="G938" s="6"/>
    </row>
    <row r="939" spans="6:7" x14ac:dyDescent="0.2">
      <c r="F939" s="6"/>
      <c r="G939" s="6"/>
    </row>
    <row r="940" spans="6:7" x14ac:dyDescent="0.2">
      <c r="F940" s="6"/>
      <c r="G940" s="6"/>
    </row>
    <row r="941" spans="6:7" x14ac:dyDescent="0.2">
      <c r="F941" s="6"/>
      <c r="G941" s="6"/>
    </row>
    <row r="942" spans="6:7" x14ac:dyDescent="0.2">
      <c r="F942" s="6"/>
      <c r="G942" s="6"/>
    </row>
    <row r="943" spans="6:7" x14ac:dyDescent="0.2">
      <c r="F943" s="6"/>
      <c r="G943" s="6"/>
    </row>
    <row r="944" spans="6:7" x14ac:dyDescent="0.2">
      <c r="F944" s="6"/>
      <c r="G944" s="6"/>
    </row>
    <row r="945" spans="6:7" x14ac:dyDescent="0.2">
      <c r="F945" s="6"/>
      <c r="G945" s="6"/>
    </row>
    <row r="946" spans="6:7" x14ac:dyDescent="0.2">
      <c r="F946" s="6"/>
      <c r="G946" s="6"/>
    </row>
    <row r="947" spans="6:7" x14ac:dyDescent="0.2">
      <c r="F947" s="6"/>
      <c r="G947" s="6"/>
    </row>
    <row r="948" spans="6:7" x14ac:dyDescent="0.2">
      <c r="F948" s="6"/>
      <c r="G948" s="6"/>
    </row>
    <row r="949" spans="6:7" x14ac:dyDescent="0.2">
      <c r="F949" s="6"/>
      <c r="G949" s="6"/>
    </row>
    <row r="950" spans="6:7" x14ac:dyDescent="0.2">
      <c r="F950" s="6"/>
      <c r="G950" s="6"/>
    </row>
    <row r="951" spans="6:7" x14ac:dyDescent="0.2">
      <c r="F951" s="6"/>
      <c r="G951" s="6"/>
    </row>
    <row r="952" spans="6:7" x14ac:dyDescent="0.2">
      <c r="F952" s="6"/>
      <c r="G952" s="6"/>
    </row>
    <row r="953" spans="6:7" x14ac:dyDescent="0.2">
      <c r="F953" s="6"/>
      <c r="G953" s="6"/>
    </row>
    <row r="954" spans="6:7" x14ac:dyDescent="0.2">
      <c r="F954" s="6"/>
      <c r="G954" s="6"/>
    </row>
    <row r="955" spans="6:7" x14ac:dyDescent="0.2">
      <c r="F955" s="6"/>
      <c r="G955" s="6"/>
    </row>
    <row r="956" spans="6:7" x14ac:dyDescent="0.2">
      <c r="F956" s="6"/>
      <c r="G956" s="6"/>
    </row>
    <row r="957" spans="6:7" x14ac:dyDescent="0.2">
      <c r="F957" s="6"/>
      <c r="G957" s="6"/>
    </row>
    <row r="958" spans="6:7" x14ac:dyDescent="0.2">
      <c r="F958" s="6"/>
      <c r="G958" s="6"/>
    </row>
    <row r="959" spans="6:7" x14ac:dyDescent="0.2">
      <c r="F959" s="6"/>
      <c r="G959" s="6"/>
    </row>
    <row r="960" spans="6:7" x14ac:dyDescent="0.2">
      <c r="F960" s="6"/>
      <c r="G960" s="6"/>
    </row>
    <row r="961" spans="6:7" x14ac:dyDescent="0.2">
      <c r="F961" s="6"/>
      <c r="G961" s="6"/>
    </row>
    <row r="962" spans="6:7" x14ac:dyDescent="0.2">
      <c r="F962" s="6"/>
      <c r="G962" s="6"/>
    </row>
    <row r="963" spans="6:7" x14ac:dyDescent="0.2">
      <c r="F963" s="6"/>
      <c r="G963" s="6"/>
    </row>
    <row r="964" spans="6:7" x14ac:dyDescent="0.2">
      <c r="F964" s="6"/>
      <c r="G964" s="6"/>
    </row>
    <row r="965" spans="6:7" x14ac:dyDescent="0.2">
      <c r="F965" s="6"/>
      <c r="G965" s="6"/>
    </row>
    <row r="966" spans="6:7" x14ac:dyDescent="0.2">
      <c r="F966" s="6"/>
      <c r="G966" s="6"/>
    </row>
    <row r="967" spans="6:7" x14ac:dyDescent="0.2">
      <c r="F967" s="6"/>
      <c r="G967" s="6"/>
    </row>
    <row r="968" spans="6:7" x14ac:dyDescent="0.2">
      <c r="F968" s="6"/>
      <c r="G968" s="6"/>
    </row>
    <row r="969" spans="6:7" x14ac:dyDescent="0.2">
      <c r="F969" s="6"/>
      <c r="G969" s="6"/>
    </row>
    <row r="970" spans="6:7" x14ac:dyDescent="0.2">
      <c r="F970" s="6"/>
      <c r="G970" s="6"/>
    </row>
    <row r="971" spans="6:7" x14ac:dyDescent="0.2">
      <c r="F971" s="6"/>
      <c r="G971" s="6"/>
    </row>
    <row r="972" spans="6:7" x14ac:dyDescent="0.2">
      <c r="F972" s="6"/>
      <c r="G972" s="6"/>
    </row>
    <row r="973" spans="6:7" x14ac:dyDescent="0.2">
      <c r="F973" s="6"/>
      <c r="G973" s="6"/>
    </row>
    <row r="974" spans="6:7" x14ac:dyDescent="0.2">
      <c r="F974" s="6"/>
      <c r="G974" s="6"/>
    </row>
    <row r="975" spans="6:7" x14ac:dyDescent="0.2">
      <c r="F975" s="6"/>
      <c r="G975" s="6"/>
    </row>
    <row r="976" spans="6:7" x14ac:dyDescent="0.2">
      <c r="F976" s="6"/>
      <c r="G976" s="6"/>
    </row>
    <row r="977" spans="6:7" x14ac:dyDescent="0.2">
      <c r="F977" s="6"/>
      <c r="G977" s="6"/>
    </row>
    <row r="978" spans="6:7" x14ac:dyDescent="0.2">
      <c r="F978" s="6"/>
      <c r="G978" s="6"/>
    </row>
    <row r="979" spans="6:7" x14ac:dyDescent="0.2">
      <c r="F979" s="6"/>
      <c r="G979" s="6"/>
    </row>
    <row r="980" spans="6:7" x14ac:dyDescent="0.2">
      <c r="F980" s="6"/>
      <c r="G980" s="6"/>
    </row>
    <row r="981" spans="6:7" x14ac:dyDescent="0.2">
      <c r="F981" s="6"/>
      <c r="G981" s="6"/>
    </row>
    <row r="982" spans="6:7" x14ac:dyDescent="0.2">
      <c r="F982" s="6"/>
      <c r="G982" s="6"/>
    </row>
    <row r="983" spans="6:7" x14ac:dyDescent="0.2">
      <c r="F983" s="6"/>
      <c r="G983" s="6"/>
    </row>
    <row r="984" spans="6:7" x14ac:dyDescent="0.2">
      <c r="F984" s="6"/>
      <c r="G984" s="6"/>
    </row>
    <row r="985" spans="6:7" x14ac:dyDescent="0.2">
      <c r="F985" s="6"/>
      <c r="G985" s="6"/>
    </row>
    <row r="986" spans="6:7" x14ac:dyDescent="0.2">
      <c r="F986" s="6"/>
      <c r="G986" s="6"/>
    </row>
    <row r="987" spans="6:7" x14ac:dyDescent="0.2">
      <c r="F987" s="6"/>
      <c r="G987" s="6"/>
    </row>
    <row r="988" spans="6:7" x14ac:dyDescent="0.2">
      <c r="F988" s="6"/>
      <c r="G988" s="6"/>
    </row>
    <row r="989" spans="6:7" x14ac:dyDescent="0.2">
      <c r="F989" s="6"/>
      <c r="G989" s="6"/>
    </row>
    <row r="990" spans="6:7" x14ac:dyDescent="0.2">
      <c r="F990" s="6"/>
      <c r="G990" s="6"/>
    </row>
    <row r="991" spans="6:7" x14ac:dyDescent="0.2">
      <c r="F991" s="6"/>
      <c r="G991" s="6"/>
    </row>
    <row r="992" spans="6:7" x14ac:dyDescent="0.2">
      <c r="F992" s="6"/>
      <c r="G992" s="6"/>
    </row>
    <row r="993" spans="6:7" x14ac:dyDescent="0.2">
      <c r="F993" s="6"/>
      <c r="G993" s="6"/>
    </row>
    <row r="994" spans="6:7" x14ac:dyDescent="0.2">
      <c r="F994" s="6"/>
      <c r="G994" s="6"/>
    </row>
    <row r="995" spans="6:7" x14ac:dyDescent="0.2">
      <c r="F995" s="6"/>
      <c r="G995" s="6"/>
    </row>
    <row r="996" spans="6:7" x14ac:dyDescent="0.2">
      <c r="F996" s="6"/>
      <c r="G996" s="6"/>
    </row>
    <row r="997" spans="6:7" x14ac:dyDescent="0.2">
      <c r="F997" s="6"/>
      <c r="G997" s="6"/>
    </row>
    <row r="998" spans="6:7" x14ac:dyDescent="0.2">
      <c r="F998" s="6"/>
      <c r="G998" s="6"/>
    </row>
    <row r="999" spans="6:7" x14ac:dyDescent="0.2">
      <c r="F999" s="6"/>
      <c r="G999" s="6"/>
    </row>
    <row r="1000" spans="6:7" x14ac:dyDescent="0.2">
      <c r="F1000" s="6"/>
      <c r="G1000" s="6"/>
    </row>
    <row r="1001" spans="6:7" x14ac:dyDescent="0.2">
      <c r="F1001" s="6"/>
      <c r="G1001" s="6"/>
    </row>
    <row r="1002" spans="6:7" x14ac:dyDescent="0.2">
      <c r="F1002" s="6"/>
      <c r="G1002" s="6"/>
    </row>
    <row r="1003" spans="6:7" x14ac:dyDescent="0.2">
      <c r="F1003" s="6"/>
      <c r="G1003" s="6"/>
    </row>
    <row r="1004" spans="6:7" x14ac:dyDescent="0.2">
      <c r="F1004" s="6"/>
      <c r="G1004" s="6"/>
    </row>
    <row r="1005" spans="6:7" x14ac:dyDescent="0.2">
      <c r="F1005" s="6"/>
      <c r="G1005" s="6"/>
    </row>
    <row r="1006" spans="6:7" x14ac:dyDescent="0.2">
      <c r="F1006" s="6"/>
      <c r="G1006" s="6"/>
    </row>
    <row r="1007" spans="6:7" x14ac:dyDescent="0.2">
      <c r="F1007" s="6"/>
      <c r="G1007" s="6"/>
    </row>
    <row r="1008" spans="6:7" x14ac:dyDescent="0.2">
      <c r="F1008" s="6"/>
      <c r="G1008" s="6"/>
    </row>
    <row r="1009" spans="6:7" x14ac:dyDescent="0.2">
      <c r="F1009" s="6"/>
      <c r="G1009" s="6"/>
    </row>
    <row r="1010" spans="6:7" x14ac:dyDescent="0.2">
      <c r="F1010" s="6"/>
      <c r="G1010" s="6"/>
    </row>
    <row r="1011" spans="6:7" x14ac:dyDescent="0.2">
      <c r="F1011" s="6"/>
      <c r="G1011" s="6"/>
    </row>
    <row r="1012" spans="6:7" x14ac:dyDescent="0.2">
      <c r="F1012" s="6"/>
      <c r="G1012" s="6"/>
    </row>
    <row r="1013" spans="6:7" x14ac:dyDescent="0.2">
      <c r="F1013" s="6"/>
      <c r="G1013" s="6"/>
    </row>
    <row r="1014" spans="6:7" x14ac:dyDescent="0.2">
      <c r="F1014" s="6"/>
      <c r="G1014" s="6"/>
    </row>
    <row r="1015" spans="6:7" x14ac:dyDescent="0.2">
      <c r="F1015" s="6"/>
      <c r="G1015" s="6"/>
    </row>
    <row r="1016" spans="6:7" x14ac:dyDescent="0.2">
      <c r="F1016" s="6"/>
      <c r="G1016" s="6"/>
    </row>
    <row r="1017" spans="6:7" x14ac:dyDescent="0.2">
      <c r="F1017" s="6"/>
      <c r="G1017" s="6"/>
    </row>
    <row r="1018" spans="6:7" x14ac:dyDescent="0.2">
      <c r="F1018" s="6"/>
      <c r="G1018" s="6"/>
    </row>
    <row r="1019" spans="6:7" x14ac:dyDescent="0.2">
      <c r="F1019" s="6"/>
      <c r="G1019" s="6"/>
    </row>
    <row r="1020" spans="6:7" x14ac:dyDescent="0.2">
      <c r="F1020" s="6"/>
      <c r="G1020" s="6"/>
    </row>
    <row r="1021" spans="6:7" x14ac:dyDescent="0.2">
      <c r="F1021" s="6"/>
      <c r="G1021" s="6"/>
    </row>
    <row r="1022" spans="6:7" x14ac:dyDescent="0.2">
      <c r="F1022" s="6"/>
      <c r="G1022" s="6"/>
    </row>
    <row r="1023" spans="6:7" x14ac:dyDescent="0.2">
      <c r="F1023" s="6"/>
      <c r="G1023" s="6"/>
    </row>
    <row r="1024" spans="6:7" x14ac:dyDescent="0.2">
      <c r="F1024" s="6"/>
      <c r="G1024" s="6"/>
    </row>
    <row r="1025" spans="6:7" x14ac:dyDescent="0.2">
      <c r="F1025" s="6"/>
      <c r="G1025" s="6"/>
    </row>
    <row r="1026" spans="6:7" x14ac:dyDescent="0.2">
      <c r="F1026" s="6"/>
      <c r="G1026" s="6"/>
    </row>
    <row r="1027" spans="6:7" x14ac:dyDescent="0.2">
      <c r="F1027" s="6"/>
      <c r="G1027" s="6"/>
    </row>
    <row r="1028" spans="6:7" x14ac:dyDescent="0.2">
      <c r="F1028" s="6"/>
      <c r="G1028" s="6"/>
    </row>
    <row r="1029" spans="6:7" x14ac:dyDescent="0.2">
      <c r="F1029" s="6"/>
      <c r="G1029" s="6"/>
    </row>
    <row r="1030" spans="6:7" x14ac:dyDescent="0.2">
      <c r="F1030" s="6"/>
      <c r="G1030" s="6"/>
    </row>
    <row r="1031" spans="6:7" x14ac:dyDescent="0.2">
      <c r="F1031" s="6"/>
      <c r="G1031" s="6"/>
    </row>
    <row r="1032" spans="6:7" x14ac:dyDescent="0.2">
      <c r="F1032" s="6"/>
      <c r="G1032" s="6"/>
    </row>
    <row r="1033" spans="6:7" x14ac:dyDescent="0.2">
      <c r="F1033" s="6"/>
      <c r="G1033" s="6"/>
    </row>
    <row r="1034" spans="6:7" x14ac:dyDescent="0.2">
      <c r="F1034" s="6"/>
      <c r="G1034" s="6"/>
    </row>
    <row r="1035" spans="6:7" x14ac:dyDescent="0.2">
      <c r="F1035" s="6"/>
      <c r="G1035" s="6"/>
    </row>
    <row r="1036" spans="6:7" x14ac:dyDescent="0.2">
      <c r="F1036" s="6"/>
      <c r="G1036" s="6"/>
    </row>
    <row r="1037" spans="6:7" x14ac:dyDescent="0.2">
      <c r="F1037" s="6"/>
      <c r="G1037" s="6"/>
    </row>
    <row r="1038" spans="6:7" x14ac:dyDescent="0.2">
      <c r="F1038" s="6"/>
      <c r="G1038" s="6"/>
    </row>
    <row r="1039" spans="6:7" x14ac:dyDescent="0.2">
      <c r="F1039" s="6"/>
      <c r="G1039" s="6"/>
    </row>
    <row r="1040" spans="6:7" x14ac:dyDescent="0.2">
      <c r="F1040" s="6"/>
      <c r="G1040" s="6"/>
    </row>
    <row r="1041" spans="6:7" x14ac:dyDescent="0.2">
      <c r="F1041" s="6"/>
      <c r="G1041" s="6"/>
    </row>
    <row r="1042" spans="6:7" x14ac:dyDescent="0.2">
      <c r="F1042" s="6"/>
      <c r="G1042" s="6"/>
    </row>
    <row r="1043" spans="6:7" x14ac:dyDescent="0.2">
      <c r="F1043" s="6"/>
      <c r="G1043" s="6"/>
    </row>
    <row r="1044" spans="6:7" x14ac:dyDescent="0.2">
      <c r="F1044" s="6"/>
      <c r="G1044" s="6"/>
    </row>
    <row r="1045" spans="6:7" x14ac:dyDescent="0.2">
      <c r="F1045" s="6"/>
      <c r="G1045" s="6"/>
    </row>
    <row r="1046" spans="6:7" x14ac:dyDescent="0.2">
      <c r="F1046" s="6"/>
      <c r="G1046" s="6"/>
    </row>
    <row r="1047" spans="6:7" x14ac:dyDescent="0.2">
      <c r="F1047" s="6"/>
      <c r="G1047" s="6"/>
    </row>
    <row r="1048" spans="6:7" x14ac:dyDescent="0.2">
      <c r="F1048" s="6"/>
      <c r="G1048" s="6"/>
    </row>
    <row r="1049" spans="6:7" x14ac:dyDescent="0.2">
      <c r="F1049" s="6"/>
      <c r="G1049" s="6"/>
    </row>
    <row r="1050" spans="6:7" x14ac:dyDescent="0.2">
      <c r="F1050" s="6"/>
      <c r="G1050" s="6"/>
    </row>
    <row r="1051" spans="6:7" x14ac:dyDescent="0.2">
      <c r="F1051" s="6"/>
      <c r="G1051" s="6"/>
    </row>
    <row r="1052" spans="6:7" x14ac:dyDescent="0.2">
      <c r="F1052" s="6"/>
      <c r="G1052" s="6"/>
    </row>
    <row r="1053" spans="6:7" x14ac:dyDescent="0.2">
      <c r="F1053" s="6"/>
      <c r="G1053" s="6"/>
    </row>
    <row r="1054" spans="6:7" x14ac:dyDescent="0.2">
      <c r="F1054" s="6"/>
      <c r="G1054" s="6"/>
    </row>
    <row r="1055" spans="6:7" x14ac:dyDescent="0.2">
      <c r="F1055" s="6"/>
      <c r="G1055" s="6"/>
    </row>
    <row r="1056" spans="6:7" x14ac:dyDescent="0.2">
      <c r="F1056" s="6"/>
      <c r="G1056" s="6"/>
    </row>
    <row r="1057" spans="6:7" x14ac:dyDescent="0.2">
      <c r="F1057" s="6"/>
      <c r="G1057" s="6"/>
    </row>
    <row r="1058" spans="6:7" x14ac:dyDescent="0.2">
      <c r="F1058" s="6"/>
      <c r="G1058" s="6"/>
    </row>
    <row r="1059" spans="6:7" x14ac:dyDescent="0.2">
      <c r="F1059" s="6"/>
      <c r="G1059" s="6"/>
    </row>
    <row r="1060" spans="6:7" x14ac:dyDescent="0.2">
      <c r="F1060" s="6"/>
      <c r="G1060" s="6"/>
    </row>
    <row r="1061" spans="6:7" x14ac:dyDescent="0.2">
      <c r="F1061" s="6"/>
      <c r="G1061" s="6"/>
    </row>
    <row r="1062" spans="6:7" x14ac:dyDescent="0.2">
      <c r="F1062" s="6"/>
      <c r="G1062" s="6"/>
    </row>
    <row r="1063" spans="6:7" x14ac:dyDescent="0.2">
      <c r="F1063" s="6"/>
      <c r="G1063" s="6"/>
    </row>
    <row r="1064" spans="6:7" x14ac:dyDescent="0.2">
      <c r="F1064" s="6"/>
      <c r="G1064" s="6"/>
    </row>
    <row r="1065" spans="6:7" x14ac:dyDescent="0.2">
      <c r="F1065" s="6"/>
      <c r="G1065" s="6"/>
    </row>
    <row r="1066" spans="6:7" x14ac:dyDescent="0.2">
      <c r="F1066" s="6"/>
      <c r="G1066" s="6"/>
    </row>
    <row r="1067" spans="6:7" x14ac:dyDescent="0.2">
      <c r="F1067" s="6"/>
      <c r="G1067" s="6"/>
    </row>
    <row r="1068" spans="6:7" x14ac:dyDescent="0.2">
      <c r="F1068" s="6"/>
      <c r="G1068" s="6"/>
    </row>
    <row r="1069" spans="6:7" x14ac:dyDescent="0.2">
      <c r="F1069" s="6"/>
      <c r="G1069" s="6"/>
    </row>
    <row r="1070" spans="6:7" x14ac:dyDescent="0.2">
      <c r="F1070" s="6"/>
      <c r="G1070" s="6"/>
    </row>
    <row r="1071" spans="6:7" x14ac:dyDescent="0.2">
      <c r="F1071" s="6"/>
      <c r="G1071" s="6"/>
    </row>
    <row r="1072" spans="6:7" x14ac:dyDescent="0.2">
      <c r="F1072" s="6"/>
      <c r="G1072" s="6"/>
    </row>
    <row r="1073" spans="6:7" x14ac:dyDescent="0.2">
      <c r="F1073" s="6"/>
      <c r="G1073" s="6"/>
    </row>
    <row r="1074" spans="6:7" x14ac:dyDescent="0.2">
      <c r="F1074" s="6"/>
      <c r="G1074" s="6"/>
    </row>
    <row r="1075" spans="6:7" x14ac:dyDescent="0.2">
      <c r="F1075" s="6"/>
      <c r="G1075" s="6"/>
    </row>
    <row r="1076" spans="6:7" x14ac:dyDescent="0.2">
      <c r="F1076" s="6"/>
      <c r="G1076" s="6"/>
    </row>
    <row r="1077" spans="6:7" x14ac:dyDescent="0.2">
      <c r="F1077" s="6"/>
      <c r="G1077" s="6"/>
    </row>
    <row r="1078" spans="6:7" x14ac:dyDescent="0.2">
      <c r="F1078" s="6"/>
      <c r="G1078" s="6"/>
    </row>
    <row r="1079" spans="6:7" x14ac:dyDescent="0.2">
      <c r="F1079" s="6"/>
      <c r="G1079" s="6"/>
    </row>
    <row r="1080" spans="6:7" x14ac:dyDescent="0.2">
      <c r="F1080" s="6"/>
      <c r="G1080" s="6"/>
    </row>
    <row r="1081" spans="6:7" x14ac:dyDescent="0.2">
      <c r="F1081" s="6"/>
      <c r="G1081" s="6"/>
    </row>
    <row r="1082" spans="6:7" x14ac:dyDescent="0.2">
      <c r="F1082" s="6"/>
      <c r="G1082" s="6"/>
    </row>
    <row r="1083" spans="6:7" x14ac:dyDescent="0.2">
      <c r="F1083" s="6"/>
      <c r="G1083" s="6"/>
    </row>
    <row r="1084" spans="6:7" x14ac:dyDescent="0.2">
      <c r="F1084" s="6"/>
      <c r="G1084" s="6"/>
    </row>
    <row r="1085" spans="6:7" x14ac:dyDescent="0.2">
      <c r="F1085" s="6"/>
      <c r="G1085" s="6"/>
    </row>
    <row r="1086" spans="6:7" x14ac:dyDescent="0.2">
      <c r="F1086" s="6"/>
      <c r="G1086" s="6"/>
    </row>
    <row r="1087" spans="6:7" x14ac:dyDescent="0.2">
      <c r="F1087" s="6"/>
      <c r="G1087" s="6"/>
    </row>
    <row r="1088" spans="6:7" x14ac:dyDescent="0.2">
      <c r="F1088" s="6"/>
      <c r="G1088" s="6"/>
    </row>
    <row r="1089" spans="6:7" x14ac:dyDescent="0.2">
      <c r="F1089" s="6"/>
      <c r="G1089" s="6"/>
    </row>
    <row r="1090" spans="6:7" x14ac:dyDescent="0.2">
      <c r="F1090" s="6"/>
      <c r="G1090" s="6"/>
    </row>
    <row r="1091" spans="6:7" x14ac:dyDescent="0.2">
      <c r="F1091" s="6"/>
      <c r="G1091" s="6"/>
    </row>
    <row r="1092" spans="6:7" x14ac:dyDescent="0.2">
      <c r="F1092" s="6"/>
      <c r="G1092" s="6"/>
    </row>
    <row r="1093" spans="6:7" x14ac:dyDescent="0.2">
      <c r="F1093" s="6"/>
      <c r="G1093" s="6"/>
    </row>
    <row r="1094" spans="6:7" x14ac:dyDescent="0.2">
      <c r="F1094" s="6"/>
      <c r="G1094" s="6"/>
    </row>
    <row r="1095" spans="6:7" x14ac:dyDescent="0.2">
      <c r="F1095" s="6"/>
      <c r="G1095" s="6"/>
    </row>
    <row r="1096" spans="6:7" x14ac:dyDescent="0.2">
      <c r="F1096" s="6"/>
      <c r="G1096" s="6"/>
    </row>
    <row r="1097" spans="6:7" x14ac:dyDescent="0.2">
      <c r="F1097" s="6"/>
      <c r="G1097" s="6"/>
    </row>
    <row r="1098" spans="6:7" x14ac:dyDescent="0.2">
      <c r="F1098" s="6"/>
      <c r="G1098" s="6"/>
    </row>
    <row r="1099" spans="6:7" x14ac:dyDescent="0.2">
      <c r="F1099" s="6"/>
      <c r="G1099" s="6"/>
    </row>
    <row r="1100" spans="6:7" x14ac:dyDescent="0.2">
      <c r="F1100" s="6"/>
      <c r="G1100" s="6"/>
    </row>
    <row r="1101" spans="6:7" x14ac:dyDescent="0.2">
      <c r="F1101" s="6"/>
      <c r="G1101" s="6"/>
    </row>
    <row r="1102" spans="6:7" x14ac:dyDescent="0.2">
      <c r="F1102" s="6"/>
      <c r="G1102" s="6"/>
    </row>
    <row r="1103" spans="6:7" x14ac:dyDescent="0.2">
      <c r="F1103" s="6"/>
      <c r="G1103" s="6"/>
    </row>
    <row r="1104" spans="6:7" x14ac:dyDescent="0.2">
      <c r="F1104" s="6"/>
      <c r="G1104" s="6"/>
    </row>
    <row r="1105" spans="6:7" x14ac:dyDescent="0.2">
      <c r="F1105" s="6"/>
      <c r="G1105" s="6"/>
    </row>
    <row r="1106" spans="6:7" x14ac:dyDescent="0.2">
      <c r="F1106" s="6"/>
      <c r="G1106" s="6"/>
    </row>
    <row r="1107" spans="6:7" x14ac:dyDescent="0.2">
      <c r="F1107" s="6"/>
      <c r="G1107" s="6"/>
    </row>
    <row r="1108" spans="6:7" x14ac:dyDescent="0.2">
      <c r="F1108" s="6"/>
      <c r="G1108" s="6"/>
    </row>
    <row r="1109" spans="6:7" x14ac:dyDescent="0.2">
      <c r="F1109" s="6"/>
      <c r="G1109" s="6"/>
    </row>
    <row r="1110" spans="6:7" x14ac:dyDescent="0.2">
      <c r="F1110" s="6"/>
      <c r="G1110" s="6"/>
    </row>
    <row r="1111" spans="6:7" x14ac:dyDescent="0.2">
      <c r="F1111" s="6"/>
      <c r="G1111" s="6"/>
    </row>
    <row r="1112" spans="6:7" x14ac:dyDescent="0.2">
      <c r="F1112" s="6"/>
      <c r="G1112" s="6"/>
    </row>
    <row r="1113" spans="6:7" x14ac:dyDescent="0.2">
      <c r="F1113" s="6"/>
      <c r="G1113" s="6"/>
    </row>
    <row r="1114" spans="6:7" x14ac:dyDescent="0.2">
      <c r="F1114" s="6"/>
      <c r="G1114" s="6"/>
    </row>
    <row r="1115" spans="6:7" x14ac:dyDescent="0.2">
      <c r="F1115" s="6"/>
      <c r="G1115" s="6"/>
    </row>
    <row r="1116" spans="6:7" x14ac:dyDescent="0.2">
      <c r="F1116" s="6"/>
      <c r="G1116" s="6"/>
    </row>
    <row r="1117" spans="6:7" x14ac:dyDescent="0.2">
      <c r="F1117" s="6"/>
      <c r="G1117" s="6"/>
    </row>
    <row r="1118" spans="6:7" x14ac:dyDescent="0.2">
      <c r="F1118" s="6"/>
      <c r="G1118" s="6"/>
    </row>
    <row r="1119" spans="6:7" x14ac:dyDescent="0.2">
      <c r="F1119" s="6"/>
      <c r="G1119" s="6"/>
    </row>
    <row r="1120" spans="6:7" x14ac:dyDescent="0.2">
      <c r="F1120" s="6"/>
      <c r="G1120" s="6"/>
    </row>
    <row r="1121" spans="6:7" x14ac:dyDescent="0.2">
      <c r="F1121" s="6"/>
      <c r="G1121" s="6"/>
    </row>
    <row r="1122" spans="6:7" x14ac:dyDescent="0.2">
      <c r="F1122" s="6"/>
      <c r="G1122" s="6"/>
    </row>
    <row r="1123" spans="6:7" x14ac:dyDescent="0.2">
      <c r="F1123" s="6"/>
      <c r="G1123" s="6"/>
    </row>
    <row r="1124" spans="6:7" x14ac:dyDescent="0.2">
      <c r="F1124" s="6"/>
      <c r="G1124" s="6"/>
    </row>
    <row r="1125" spans="6:7" x14ac:dyDescent="0.2">
      <c r="F1125" s="6"/>
      <c r="G1125" s="6"/>
    </row>
    <row r="1126" spans="6:7" x14ac:dyDescent="0.2">
      <c r="F1126" s="6"/>
      <c r="G1126" s="6"/>
    </row>
    <row r="1127" spans="6:7" x14ac:dyDescent="0.2">
      <c r="F1127" s="6"/>
      <c r="G1127" s="6"/>
    </row>
    <row r="1128" spans="6:7" x14ac:dyDescent="0.2">
      <c r="F1128" s="6"/>
      <c r="G1128" s="6"/>
    </row>
    <row r="1129" spans="6:7" x14ac:dyDescent="0.2">
      <c r="F1129" s="6"/>
      <c r="G1129" s="6"/>
    </row>
    <row r="1130" spans="6:7" x14ac:dyDescent="0.2">
      <c r="F1130" s="6"/>
      <c r="G1130" s="6"/>
    </row>
    <row r="1131" spans="6:7" x14ac:dyDescent="0.2">
      <c r="F1131" s="6"/>
      <c r="G1131" s="6"/>
    </row>
    <row r="1132" spans="6:7" x14ac:dyDescent="0.2">
      <c r="F1132" s="6"/>
      <c r="G1132" s="6"/>
    </row>
    <row r="1133" spans="6:7" x14ac:dyDescent="0.2">
      <c r="F1133" s="6"/>
      <c r="G1133" s="6"/>
    </row>
    <row r="1134" spans="6:7" x14ac:dyDescent="0.2">
      <c r="F1134" s="6"/>
      <c r="G1134" s="6"/>
    </row>
    <row r="1135" spans="6:7" x14ac:dyDescent="0.2">
      <c r="F1135" s="6"/>
      <c r="G1135" s="6"/>
    </row>
    <row r="1136" spans="6:7" x14ac:dyDescent="0.2">
      <c r="F1136" s="6"/>
      <c r="G1136" s="6"/>
    </row>
    <row r="1137" spans="6:7" x14ac:dyDescent="0.2">
      <c r="F1137" s="6"/>
      <c r="G1137" s="6"/>
    </row>
    <row r="1138" spans="6:7" x14ac:dyDescent="0.2">
      <c r="F1138" s="6"/>
      <c r="G1138" s="6"/>
    </row>
    <row r="1139" spans="6:7" x14ac:dyDescent="0.2">
      <c r="F1139" s="6"/>
      <c r="G1139" s="6"/>
    </row>
    <row r="1140" spans="6:7" x14ac:dyDescent="0.2">
      <c r="F1140" s="6"/>
      <c r="G1140" s="6"/>
    </row>
    <row r="1141" spans="6:7" x14ac:dyDescent="0.2">
      <c r="F1141" s="6"/>
      <c r="G1141" s="6"/>
    </row>
    <row r="1142" spans="6:7" x14ac:dyDescent="0.2">
      <c r="F1142" s="6"/>
      <c r="G1142" s="6"/>
    </row>
    <row r="1143" spans="6:7" x14ac:dyDescent="0.2">
      <c r="F1143" s="6"/>
      <c r="G1143" s="6"/>
    </row>
    <row r="1144" spans="6:7" x14ac:dyDescent="0.2">
      <c r="F1144" s="6"/>
      <c r="G1144" s="6"/>
    </row>
    <row r="1145" spans="6:7" x14ac:dyDescent="0.2">
      <c r="F1145" s="6"/>
      <c r="G1145" s="6"/>
    </row>
    <row r="1146" spans="6:7" x14ac:dyDescent="0.2">
      <c r="F1146" s="6"/>
      <c r="G1146" s="6"/>
    </row>
    <row r="1147" spans="6:7" x14ac:dyDescent="0.2">
      <c r="F1147" s="6"/>
      <c r="G1147" s="6"/>
    </row>
    <row r="1148" spans="6:7" x14ac:dyDescent="0.2">
      <c r="F1148" s="6"/>
      <c r="G1148" s="6"/>
    </row>
    <row r="1149" spans="6:7" x14ac:dyDescent="0.2">
      <c r="F1149" s="6"/>
      <c r="G1149" s="6"/>
    </row>
    <row r="1150" spans="6:7" x14ac:dyDescent="0.2">
      <c r="F1150" s="6"/>
      <c r="G1150" s="6"/>
    </row>
    <row r="1151" spans="6:7" x14ac:dyDescent="0.2">
      <c r="F1151" s="6"/>
      <c r="G1151" s="6"/>
    </row>
    <row r="1152" spans="6:7" x14ac:dyDescent="0.2">
      <c r="F1152" s="6"/>
      <c r="G1152" s="6"/>
    </row>
    <row r="1153" spans="6:7" x14ac:dyDescent="0.2">
      <c r="F1153" s="6"/>
      <c r="G1153" s="6"/>
    </row>
    <row r="1154" spans="6:7" x14ac:dyDescent="0.2">
      <c r="F1154" s="6"/>
      <c r="G1154" s="6"/>
    </row>
    <row r="1155" spans="6:7" x14ac:dyDescent="0.2">
      <c r="F1155" s="6"/>
      <c r="G1155" s="6"/>
    </row>
    <row r="1156" spans="6:7" x14ac:dyDescent="0.2">
      <c r="F1156" s="6"/>
      <c r="G1156" s="6"/>
    </row>
    <row r="1157" spans="6:7" x14ac:dyDescent="0.2">
      <c r="F1157" s="6"/>
      <c r="G1157" s="6"/>
    </row>
    <row r="1158" spans="6:7" x14ac:dyDescent="0.2">
      <c r="F1158" s="6"/>
      <c r="G1158" s="6"/>
    </row>
    <row r="1159" spans="6:7" x14ac:dyDescent="0.2">
      <c r="F1159" s="6"/>
      <c r="G1159" s="6"/>
    </row>
    <row r="1160" spans="6:7" x14ac:dyDescent="0.2">
      <c r="F1160" s="6"/>
      <c r="G1160" s="6"/>
    </row>
    <row r="1161" spans="6:7" x14ac:dyDescent="0.2">
      <c r="F1161" s="6"/>
      <c r="G1161" s="6"/>
    </row>
    <row r="1162" spans="6:7" x14ac:dyDescent="0.2">
      <c r="F1162" s="6"/>
      <c r="G1162" s="6"/>
    </row>
    <row r="1163" spans="6:7" x14ac:dyDescent="0.2">
      <c r="F1163" s="6"/>
      <c r="G1163" s="6"/>
    </row>
    <row r="1164" spans="6:7" x14ac:dyDescent="0.2">
      <c r="F1164" s="6"/>
      <c r="G1164" s="6"/>
    </row>
    <row r="1165" spans="6:7" x14ac:dyDescent="0.2">
      <c r="F1165" s="6"/>
      <c r="G1165" s="6"/>
    </row>
    <row r="1166" spans="6:7" x14ac:dyDescent="0.2">
      <c r="F1166" s="6"/>
      <c r="G1166" s="6"/>
    </row>
    <row r="1167" spans="6:7" x14ac:dyDescent="0.2">
      <c r="F1167" s="6"/>
      <c r="G1167" s="6"/>
    </row>
    <row r="1168" spans="6:7" x14ac:dyDescent="0.2">
      <c r="F1168" s="6"/>
      <c r="G1168" s="6"/>
    </row>
    <row r="1169" spans="6:7" x14ac:dyDescent="0.2">
      <c r="F1169" s="6"/>
      <c r="G1169" s="6"/>
    </row>
    <row r="1170" spans="6:7" x14ac:dyDescent="0.2">
      <c r="F1170" s="6"/>
      <c r="G1170" s="6"/>
    </row>
    <row r="1171" spans="6:7" x14ac:dyDescent="0.2">
      <c r="F1171" s="6"/>
      <c r="G1171" s="6"/>
    </row>
    <row r="1172" spans="6:7" x14ac:dyDescent="0.2">
      <c r="F1172" s="6"/>
      <c r="G1172" s="6"/>
    </row>
    <row r="1173" spans="6:7" x14ac:dyDescent="0.2">
      <c r="F1173" s="6"/>
      <c r="G1173" s="6"/>
    </row>
    <row r="1174" spans="6:7" x14ac:dyDescent="0.2">
      <c r="F1174" s="6"/>
      <c r="G1174" s="6"/>
    </row>
    <row r="1175" spans="6:7" x14ac:dyDescent="0.2">
      <c r="F1175" s="6"/>
      <c r="G1175" s="6"/>
    </row>
    <row r="1176" spans="6:7" x14ac:dyDescent="0.2">
      <c r="F1176" s="6"/>
      <c r="G1176" s="6"/>
    </row>
    <row r="1177" spans="6:7" x14ac:dyDescent="0.2">
      <c r="F1177" s="6"/>
      <c r="G1177" s="6"/>
    </row>
    <row r="1178" spans="6:7" x14ac:dyDescent="0.2">
      <c r="F1178" s="6"/>
      <c r="G1178" s="6"/>
    </row>
    <row r="1179" spans="6:7" x14ac:dyDescent="0.2">
      <c r="F1179" s="6"/>
      <c r="G1179" s="6"/>
    </row>
    <row r="1180" spans="6:7" x14ac:dyDescent="0.2">
      <c r="F1180" s="6"/>
      <c r="G1180" s="6"/>
    </row>
    <row r="1181" spans="6:7" x14ac:dyDescent="0.2">
      <c r="F1181" s="6"/>
      <c r="G1181" s="6"/>
    </row>
    <row r="1182" spans="6:7" x14ac:dyDescent="0.2">
      <c r="F1182" s="6"/>
      <c r="G1182" s="6"/>
    </row>
    <row r="1183" spans="6:7" x14ac:dyDescent="0.2">
      <c r="F1183" s="6"/>
      <c r="G1183" s="6"/>
    </row>
    <row r="1184" spans="6:7" x14ac:dyDescent="0.2">
      <c r="F1184" s="6"/>
      <c r="G1184" s="6"/>
    </row>
    <row r="1185" spans="6:7" x14ac:dyDescent="0.2">
      <c r="F1185" s="6"/>
      <c r="G1185" s="6"/>
    </row>
    <row r="1186" spans="6:7" x14ac:dyDescent="0.2">
      <c r="F1186" s="6"/>
      <c r="G1186" s="6"/>
    </row>
    <row r="1187" spans="6:7" x14ac:dyDescent="0.2">
      <c r="F1187" s="6"/>
      <c r="G1187" s="6"/>
    </row>
    <row r="1188" spans="6:7" x14ac:dyDescent="0.2">
      <c r="F1188" s="6"/>
      <c r="G1188" s="6"/>
    </row>
    <row r="1189" spans="6:7" x14ac:dyDescent="0.2">
      <c r="F1189" s="6"/>
      <c r="G1189" s="6"/>
    </row>
    <row r="1190" spans="6:7" x14ac:dyDescent="0.2">
      <c r="F1190" s="6"/>
      <c r="G1190" s="6"/>
    </row>
    <row r="1191" spans="6:7" x14ac:dyDescent="0.2">
      <c r="F1191" s="6"/>
      <c r="G1191" s="6"/>
    </row>
    <row r="1192" spans="6:7" x14ac:dyDescent="0.2">
      <c r="F1192" s="6"/>
      <c r="G1192" s="6"/>
    </row>
    <row r="1193" spans="6:7" x14ac:dyDescent="0.2">
      <c r="F1193" s="6"/>
      <c r="G1193" s="6"/>
    </row>
    <row r="1194" spans="6:7" x14ac:dyDescent="0.2">
      <c r="F1194" s="6"/>
      <c r="G1194" s="6"/>
    </row>
    <row r="1195" spans="6:7" x14ac:dyDescent="0.2">
      <c r="F1195" s="6"/>
      <c r="G1195" s="6"/>
    </row>
    <row r="1196" spans="6:7" x14ac:dyDescent="0.2">
      <c r="F1196" s="6"/>
      <c r="G1196" s="6"/>
    </row>
    <row r="1197" spans="6:7" x14ac:dyDescent="0.2">
      <c r="F1197" s="6"/>
      <c r="G1197" s="6"/>
    </row>
    <row r="1198" spans="6:7" x14ac:dyDescent="0.2">
      <c r="F1198" s="6"/>
      <c r="G1198" s="6"/>
    </row>
    <row r="1199" spans="6:7" x14ac:dyDescent="0.2">
      <c r="F1199" s="6"/>
      <c r="G1199" s="6"/>
    </row>
    <row r="1200" spans="6:7" x14ac:dyDescent="0.2">
      <c r="F1200" s="6"/>
      <c r="G1200" s="6"/>
    </row>
    <row r="1201" spans="6:7" x14ac:dyDescent="0.2">
      <c r="F1201" s="6"/>
      <c r="G1201" s="6"/>
    </row>
    <row r="1202" spans="6:7" x14ac:dyDescent="0.2">
      <c r="F1202" s="6"/>
      <c r="G1202" s="6"/>
    </row>
    <row r="1203" spans="6:7" x14ac:dyDescent="0.2">
      <c r="F1203" s="6"/>
      <c r="G1203" s="6"/>
    </row>
    <row r="1204" spans="6:7" x14ac:dyDescent="0.2">
      <c r="F1204" s="6"/>
      <c r="G1204" s="6"/>
    </row>
    <row r="1205" spans="6:7" x14ac:dyDescent="0.2">
      <c r="F1205" s="6"/>
      <c r="G1205" s="6"/>
    </row>
    <row r="1206" spans="6:7" x14ac:dyDescent="0.2">
      <c r="F1206" s="6"/>
      <c r="G1206" s="6"/>
    </row>
    <row r="1207" spans="6:7" x14ac:dyDescent="0.2">
      <c r="F1207" s="6"/>
      <c r="G1207" s="6"/>
    </row>
    <row r="1208" spans="6:7" x14ac:dyDescent="0.2">
      <c r="F1208" s="6"/>
      <c r="G1208" s="6"/>
    </row>
    <row r="1209" spans="6:7" x14ac:dyDescent="0.2">
      <c r="F1209" s="6"/>
      <c r="G1209" s="6"/>
    </row>
    <row r="1210" spans="6:7" x14ac:dyDescent="0.2">
      <c r="F1210" s="6"/>
      <c r="G1210" s="6"/>
    </row>
    <row r="1211" spans="6:7" x14ac:dyDescent="0.2">
      <c r="F1211" s="6"/>
      <c r="G1211" s="6"/>
    </row>
    <row r="1212" spans="6:7" x14ac:dyDescent="0.2">
      <c r="F1212" s="6"/>
      <c r="G1212" s="6"/>
    </row>
    <row r="1213" spans="6:7" x14ac:dyDescent="0.2">
      <c r="F1213" s="6"/>
      <c r="G1213" s="6"/>
    </row>
    <row r="1214" spans="6:7" x14ac:dyDescent="0.2">
      <c r="F1214" s="6"/>
      <c r="G1214" s="6"/>
    </row>
    <row r="1215" spans="6:7" x14ac:dyDescent="0.2">
      <c r="F1215" s="6"/>
      <c r="G1215" s="6"/>
    </row>
    <row r="1216" spans="6:7" x14ac:dyDescent="0.2">
      <c r="F1216" s="6"/>
      <c r="G1216" s="6"/>
    </row>
    <row r="1217" spans="6:7" x14ac:dyDescent="0.2">
      <c r="F1217" s="6"/>
      <c r="G1217" s="6"/>
    </row>
    <row r="1218" spans="6:7" x14ac:dyDescent="0.2">
      <c r="F1218" s="6"/>
      <c r="G1218" s="6"/>
    </row>
    <row r="1219" spans="6:7" x14ac:dyDescent="0.2">
      <c r="F1219" s="6"/>
      <c r="G1219" s="6"/>
    </row>
    <row r="1220" spans="6:7" x14ac:dyDescent="0.2">
      <c r="F1220" s="6"/>
      <c r="G1220" s="6"/>
    </row>
    <row r="1221" spans="6:7" x14ac:dyDescent="0.2">
      <c r="F1221" s="6"/>
      <c r="G1221" s="6"/>
    </row>
    <row r="1222" spans="6:7" x14ac:dyDescent="0.2">
      <c r="F1222" s="6"/>
      <c r="G1222" s="6"/>
    </row>
    <row r="1223" spans="6:7" x14ac:dyDescent="0.2">
      <c r="F1223" s="6"/>
      <c r="G1223" s="6"/>
    </row>
    <row r="1224" spans="6:7" x14ac:dyDescent="0.2">
      <c r="F1224" s="6"/>
      <c r="G1224" s="6"/>
    </row>
    <row r="1225" spans="6:7" x14ac:dyDescent="0.2">
      <c r="F1225" s="6"/>
      <c r="G1225" s="6"/>
    </row>
    <row r="1226" spans="6:7" x14ac:dyDescent="0.2">
      <c r="F1226" s="6"/>
      <c r="G1226" s="6"/>
    </row>
    <row r="1227" spans="6:7" x14ac:dyDescent="0.2">
      <c r="F1227" s="6"/>
      <c r="G1227" s="6"/>
    </row>
    <row r="1228" spans="6:7" x14ac:dyDescent="0.2">
      <c r="F1228" s="6"/>
      <c r="G1228" s="6"/>
    </row>
    <row r="1229" spans="6:7" x14ac:dyDescent="0.2">
      <c r="F1229" s="6"/>
      <c r="G1229" s="6"/>
    </row>
    <row r="1230" spans="6:7" x14ac:dyDescent="0.2">
      <c r="F1230" s="6"/>
      <c r="G1230" s="6"/>
    </row>
    <row r="1231" spans="6:7" x14ac:dyDescent="0.2">
      <c r="F1231" s="6"/>
      <c r="G1231" s="6"/>
    </row>
    <row r="1232" spans="6:7" x14ac:dyDescent="0.2">
      <c r="F1232" s="6"/>
      <c r="G1232" s="6"/>
    </row>
    <row r="1233" spans="6:7" x14ac:dyDescent="0.2">
      <c r="F1233" s="6"/>
      <c r="G1233" s="6"/>
    </row>
    <row r="1234" spans="6:7" x14ac:dyDescent="0.2">
      <c r="F1234" s="6"/>
      <c r="G1234" s="6"/>
    </row>
    <row r="1235" spans="6:7" x14ac:dyDescent="0.2">
      <c r="F1235" s="6"/>
      <c r="G1235" s="6"/>
    </row>
    <row r="1236" spans="6:7" x14ac:dyDescent="0.2">
      <c r="F1236" s="6"/>
      <c r="G1236" s="6"/>
    </row>
    <row r="1237" spans="6:7" x14ac:dyDescent="0.2">
      <c r="F1237" s="6"/>
      <c r="G1237" s="6"/>
    </row>
    <row r="1238" spans="6:7" x14ac:dyDescent="0.2">
      <c r="F1238" s="6"/>
      <c r="G1238" s="6"/>
    </row>
    <row r="1239" spans="6:7" x14ac:dyDescent="0.2">
      <c r="F1239" s="6"/>
      <c r="G1239" s="6"/>
    </row>
    <row r="1240" spans="6:7" x14ac:dyDescent="0.2">
      <c r="F1240" s="6"/>
      <c r="G1240" s="6"/>
    </row>
    <row r="1241" spans="6:7" x14ac:dyDescent="0.2">
      <c r="F1241" s="6"/>
      <c r="G1241" s="6"/>
    </row>
    <row r="1242" spans="6:7" x14ac:dyDescent="0.2">
      <c r="F1242" s="6"/>
      <c r="G1242" s="6"/>
    </row>
    <row r="1243" spans="6:7" x14ac:dyDescent="0.2">
      <c r="F1243" s="6"/>
      <c r="G1243" s="6"/>
    </row>
    <row r="1244" spans="6:7" x14ac:dyDescent="0.2">
      <c r="F1244" s="6"/>
      <c r="G1244" s="6"/>
    </row>
    <row r="1245" spans="6:7" x14ac:dyDescent="0.2">
      <c r="F1245" s="6"/>
      <c r="G1245" s="6"/>
    </row>
    <row r="1246" spans="6:7" x14ac:dyDescent="0.2">
      <c r="F1246" s="6"/>
      <c r="G1246" s="6"/>
    </row>
    <row r="1247" spans="6:7" x14ac:dyDescent="0.2">
      <c r="F1247" s="6"/>
      <c r="G1247" s="6"/>
    </row>
    <row r="1248" spans="6:7" x14ac:dyDescent="0.2">
      <c r="F1248" s="6"/>
      <c r="G1248" s="6"/>
    </row>
    <row r="1249" spans="6:7" x14ac:dyDescent="0.2">
      <c r="F1249" s="6"/>
      <c r="G1249" s="6"/>
    </row>
    <row r="1250" spans="6:7" x14ac:dyDescent="0.2">
      <c r="F1250" s="6"/>
      <c r="G1250" s="6"/>
    </row>
    <row r="1251" spans="6:7" x14ac:dyDescent="0.2">
      <c r="F1251" s="6"/>
      <c r="G1251" s="6"/>
    </row>
    <row r="1252" spans="6:7" x14ac:dyDescent="0.2">
      <c r="F1252" s="6"/>
      <c r="G1252" s="6"/>
    </row>
    <row r="1253" spans="6:7" x14ac:dyDescent="0.2">
      <c r="F1253" s="6"/>
      <c r="G1253" s="6"/>
    </row>
    <row r="1254" spans="6:7" x14ac:dyDescent="0.2">
      <c r="F1254" s="6"/>
      <c r="G1254" s="6"/>
    </row>
    <row r="1255" spans="6:7" x14ac:dyDescent="0.2">
      <c r="F1255" s="6"/>
      <c r="G1255" s="6"/>
    </row>
    <row r="1256" spans="6:7" x14ac:dyDescent="0.2">
      <c r="F1256" s="6"/>
      <c r="G1256" s="6"/>
    </row>
    <row r="1257" spans="6:7" x14ac:dyDescent="0.2">
      <c r="F1257" s="6"/>
      <c r="G1257" s="6"/>
    </row>
    <row r="1258" spans="6:7" x14ac:dyDescent="0.2">
      <c r="F1258" s="6"/>
      <c r="G1258" s="6"/>
    </row>
    <row r="1259" spans="6:7" x14ac:dyDescent="0.2">
      <c r="F1259" s="6"/>
      <c r="G1259" s="6"/>
    </row>
    <row r="1260" spans="6:7" x14ac:dyDescent="0.2">
      <c r="F1260" s="6"/>
      <c r="G1260" s="6"/>
    </row>
    <row r="1261" spans="6:7" x14ac:dyDescent="0.2">
      <c r="F1261" s="6"/>
      <c r="G1261" s="6"/>
    </row>
    <row r="1262" spans="6:7" x14ac:dyDescent="0.2">
      <c r="F1262" s="6"/>
      <c r="G1262" s="6"/>
    </row>
    <row r="1263" spans="6:7" x14ac:dyDescent="0.2">
      <c r="F1263" s="6"/>
      <c r="G1263" s="6"/>
    </row>
    <row r="1264" spans="6:7" x14ac:dyDescent="0.2">
      <c r="F1264" s="6"/>
      <c r="G1264" s="6"/>
    </row>
    <row r="1265" spans="6:7" x14ac:dyDescent="0.2">
      <c r="F1265" s="6"/>
      <c r="G1265" s="6"/>
    </row>
    <row r="1266" spans="6:7" x14ac:dyDescent="0.2">
      <c r="F1266" s="6"/>
      <c r="G1266" s="6"/>
    </row>
    <row r="1267" spans="6:7" x14ac:dyDescent="0.2">
      <c r="F1267" s="6"/>
      <c r="G1267" s="6"/>
    </row>
    <row r="1268" spans="6:7" x14ac:dyDescent="0.2">
      <c r="F1268" s="6"/>
      <c r="G1268" s="6"/>
    </row>
    <row r="1269" spans="6:7" x14ac:dyDescent="0.2">
      <c r="F1269" s="6"/>
      <c r="G1269" s="6"/>
    </row>
    <row r="1270" spans="6:7" x14ac:dyDescent="0.2">
      <c r="F1270" s="6"/>
      <c r="G1270" s="6"/>
    </row>
    <row r="1271" spans="6:7" x14ac:dyDescent="0.2">
      <c r="F1271" s="6"/>
      <c r="G1271" s="6"/>
    </row>
    <row r="1272" spans="6:7" x14ac:dyDescent="0.2">
      <c r="F1272" s="6"/>
      <c r="G1272" s="6"/>
    </row>
    <row r="1273" spans="6:7" x14ac:dyDescent="0.2">
      <c r="F1273" s="6"/>
      <c r="G1273" s="6"/>
    </row>
    <row r="1274" spans="6:7" x14ac:dyDescent="0.2">
      <c r="F1274" s="6"/>
      <c r="G1274" s="6"/>
    </row>
    <row r="1275" spans="6:7" x14ac:dyDescent="0.2">
      <c r="F1275" s="6"/>
      <c r="G1275" s="6"/>
    </row>
    <row r="1276" spans="6:7" x14ac:dyDescent="0.2">
      <c r="F1276" s="6"/>
      <c r="G1276" s="6"/>
    </row>
    <row r="1277" spans="6:7" x14ac:dyDescent="0.2">
      <c r="F1277" s="6"/>
      <c r="G1277" s="6"/>
    </row>
    <row r="1278" spans="6:7" x14ac:dyDescent="0.2">
      <c r="F1278" s="6"/>
      <c r="G1278" s="6"/>
    </row>
    <row r="1279" spans="6:7" x14ac:dyDescent="0.2">
      <c r="F1279" s="6"/>
      <c r="G1279" s="6"/>
    </row>
    <row r="1280" spans="6:7" x14ac:dyDescent="0.2">
      <c r="F1280" s="6"/>
      <c r="G1280" s="6"/>
    </row>
    <row r="1281" spans="6:7" x14ac:dyDescent="0.2">
      <c r="F1281" s="6"/>
      <c r="G1281" s="6"/>
    </row>
    <row r="1282" spans="6:7" x14ac:dyDescent="0.2">
      <c r="F1282" s="6"/>
      <c r="G1282" s="6"/>
    </row>
    <row r="1283" spans="6:7" x14ac:dyDescent="0.2">
      <c r="F1283" s="6"/>
      <c r="G1283" s="6"/>
    </row>
    <row r="1284" spans="6:7" x14ac:dyDescent="0.2">
      <c r="F1284" s="6"/>
      <c r="G1284" s="6"/>
    </row>
    <row r="1285" spans="6:7" x14ac:dyDescent="0.2">
      <c r="F1285" s="6"/>
      <c r="G1285" s="6"/>
    </row>
    <row r="1286" spans="6:7" x14ac:dyDescent="0.2">
      <c r="F1286" s="6"/>
      <c r="G1286" s="6"/>
    </row>
    <row r="1287" spans="6:7" x14ac:dyDescent="0.2">
      <c r="F1287" s="6"/>
      <c r="G1287" s="6"/>
    </row>
    <row r="1288" spans="6:7" x14ac:dyDescent="0.2">
      <c r="F1288" s="6"/>
      <c r="G1288" s="6"/>
    </row>
    <row r="1289" spans="6:7" x14ac:dyDescent="0.2">
      <c r="F1289" s="6"/>
      <c r="G1289" s="6"/>
    </row>
    <row r="1290" spans="6:7" x14ac:dyDescent="0.2">
      <c r="F1290" s="6"/>
      <c r="G1290" s="6"/>
    </row>
    <row r="1291" spans="6:7" x14ac:dyDescent="0.2">
      <c r="F1291" s="6"/>
      <c r="G1291" s="6"/>
    </row>
    <row r="1292" spans="6:7" x14ac:dyDescent="0.2">
      <c r="F1292" s="6"/>
      <c r="G1292" s="6"/>
    </row>
    <row r="1293" spans="6:7" x14ac:dyDescent="0.2">
      <c r="F1293" s="6"/>
      <c r="G1293" s="6"/>
    </row>
    <row r="1294" spans="6:7" x14ac:dyDescent="0.2">
      <c r="F1294" s="6"/>
      <c r="G1294" s="6"/>
    </row>
    <row r="1295" spans="6:7" x14ac:dyDescent="0.2">
      <c r="F1295" s="6"/>
      <c r="G1295" s="6"/>
    </row>
    <row r="1296" spans="6:7" x14ac:dyDescent="0.2">
      <c r="F1296" s="6"/>
      <c r="G1296" s="6"/>
    </row>
    <row r="1297" spans="6:7" x14ac:dyDescent="0.2">
      <c r="F1297" s="6"/>
      <c r="G1297" s="6"/>
    </row>
    <row r="1298" spans="6:7" x14ac:dyDescent="0.2">
      <c r="F1298" s="6"/>
      <c r="G1298" s="6"/>
    </row>
    <row r="1299" spans="6:7" x14ac:dyDescent="0.2">
      <c r="F1299" s="6"/>
      <c r="G1299" s="6"/>
    </row>
    <row r="1300" spans="6:7" x14ac:dyDescent="0.2">
      <c r="F1300" s="6"/>
      <c r="G1300" s="6"/>
    </row>
    <row r="1301" spans="6:7" x14ac:dyDescent="0.2">
      <c r="F1301" s="6"/>
      <c r="G1301" s="6"/>
    </row>
    <row r="1302" spans="6:7" x14ac:dyDescent="0.2">
      <c r="F1302" s="6"/>
      <c r="G1302" s="6"/>
    </row>
    <row r="1303" spans="6:7" x14ac:dyDescent="0.2">
      <c r="F1303" s="6"/>
      <c r="G1303" s="6"/>
    </row>
    <row r="1304" spans="6:7" x14ac:dyDescent="0.2">
      <c r="F1304" s="6"/>
      <c r="G1304" s="6"/>
    </row>
    <row r="1305" spans="6:7" x14ac:dyDescent="0.2">
      <c r="F1305" s="6"/>
      <c r="G1305" s="6"/>
    </row>
    <row r="1306" spans="6:7" x14ac:dyDescent="0.2">
      <c r="F1306" s="6"/>
      <c r="G1306" s="6"/>
    </row>
    <row r="1307" spans="6:7" x14ac:dyDescent="0.2">
      <c r="F1307" s="6"/>
      <c r="G1307" s="6"/>
    </row>
    <row r="1308" spans="6:7" x14ac:dyDescent="0.2">
      <c r="F1308" s="6"/>
      <c r="G1308" s="6"/>
    </row>
    <row r="1309" spans="6:7" x14ac:dyDescent="0.2">
      <c r="F1309" s="6"/>
      <c r="G1309" s="6"/>
    </row>
    <row r="1310" spans="6:7" x14ac:dyDescent="0.2">
      <c r="F1310" s="6"/>
      <c r="G1310" s="6"/>
    </row>
    <row r="1311" spans="6:7" x14ac:dyDescent="0.2">
      <c r="F1311" s="6"/>
      <c r="G1311" s="6"/>
    </row>
    <row r="1312" spans="6:7" x14ac:dyDescent="0.2">
      <c r="F1312" s="6"/>
      <c r="G1312" s="6"/>
    </row>
    <row r="1313" spans="6:7" x14ac:dyDescent="0.2">
      <c r="F1313" s="6"/>
      <c r="G1313" s="6"/>
    </row>
    <row r="1314" spans="6:7" x14ac:dyDescent="0.2">
      <c r="F1314" s="6"/>
      <c r="G1314" s="6"/>
    </row>
    <row r="1315" spans="6:7" x14ac:dyDescent="0.2">
      <c r="F1315" s="6"/>
      <c r="G1315" s="6"/>
    </row>
    <row r="1316" spans="6:7" x14ac:dyDescent="0.2">
      <c r="F1316" s="6"/>
      <c r="G1316" s="6"/>
    </row>
    <row r="1317" spans="6:7" x14ac:dyDescent="0.2">
      <c r="F1317" s="6"/>
      <c r="G1317" s="6"/>
    </row>
    <row r="1318" spans="6:7" x14ac:dyDescent="0.2">
      <c r="F1318" s="6"/>
      <c r="G1318" s="6"/>
    </row>
    <row r="1319" spans="6:7" x14ac:dyDescent="0.2">
      <c r="F1319" s="6"/>
      <c r="G1319" s="6"/>
    </row>
    <row r="1320" spans="6:7" x14ac:dyDescent="0.2">
      <c r="F1320" s="6"/>
      <c r="G1320" s="6"/>
    </row>
    <row r="1321" spans="6:7" x14ac:dyDescent="0.2">
      <c r="F1321" s="6"/>
      <c r="G1321" s="6"/>
    </row>
    <row r="1322" spans="6:7" x14ac:dyDescent="0.2">
      <c r="F1322" s="6"/>
      <c r="G1322" s="6"/>
    </row>
    <row r="1323" spans="6:7" x14ac:dyDescent="0.2">
      <c r="F1323" s="6"/>
      <c r="G1323" s="6"/>
    </row>
    <row r="1324" spans="6:7" x14ac:dyDescent="0.2">
      <c r="F1324" s="6"/>
      <c r="G1324" s="6"/>
    </row>
    <row r="1325" spans="6:7" x14ac:dyDescent="0.2">
      <c r="F1325" s="6"/>
      <c r="G1325" s="6"/>
    </row>
    <row r="1326" spans="6:7" x14ac:dyDescent="0.2">
      <c r="F1326" s="6"/>
      <c r="G1326" s="6"/>
    </row>
    <row r="1327" spans="6:7" x14ac:dyDescent="0.2">
      <c r="F1327" s="6"/>
      <c r="G1327" s="6"/>
    </row>
    <row r="1328" spans="6:7" x14ac:dyDescent="0.2">
      <c r="F1328" s="6"/>
      <c r="G1328" s="6"/>
    </row>
    <row r="1329" spans="6:7" x14ac:dyDescent="0.2">
      <c r="F1329" s="6"/>
      <c r="G1329" s="6"/>
    </row>
    <row r="1330" spans="6:7" x14ac:dyDescent="0.2">
      <c r="F1330" s="6"/>
      <c r="G1330" s="6"/>
    </row>
    <row r="1331" spans="6:7" x14ac:dyDescent="0.2">
      <c r="F1331" s="6"/>
      <c r="G1331" s="6"/>
    </row>
    <row r="1332" spans="6:7" x14ac:dyDescent="0.2">
      <c r="F1332" s="6"/>
      <c r="G1332" s="6"/>
    </row>
    <row r="1333" spans="6:7" x14ac:dyDescent="0.2">
      <c r="F1333" s="6"/>
      <c r="G1333" s="6"/>
    </row>
    <row r="1334" spans="6:7" x14ac:dyDescent="0.2">
      <c r="F1334" s="6"/>
      <c r="G1334" s="6"/>
    </row>
    <row r="1335" spans="6:7" x14ac:dyDescent="0.2">
      <c r="F1335" s="6"/>
      <c r="G1335" s="6"/>
    </row>
    <row r="1336" spans="6:7" x14ac:dyDescent="0.2">
      <c r="F1336" s="6"/>
      <c r="G1336" s="6"/>
    </row>
    <row r="1337" spans="6:7" x14ac:dyDescent="0.2">
      <c r="F1337" s="6"/>
      <c r="G1337" s="6"/>
    </row>
    <row r="1338" spans="6:7" x14ac:dyDescent="0.2">
      <c r="F1338" s="6"/>
      <c r="G1338" s="6"/>
    </row>
    <row r="1339" spans="6:7" x14ac:dyDescent="0.2">
      <c r="F1339" s="6"/>
      <c r="G1339" s="6"/>
    </row>
    <row r="1340" spans="6:7" x14ac:dyDescent="0.2">
      <c r="F1340" s="6"/>
      <c r="G1340" s="6"/>
    </row>
    <row r="1341" spans="6:7" x14ac:dyDescent="0.2">
      <c r="F1341" s="6"/>
      <c r="G1341" s="6"/>
    </row>
    <row r="1342" spans="6:7" x14ac:dyDescent="0.2">
      <c r="F1342" s="6"/>
      <c r="G1342" s="6"/>
    </row>
    <row r="1343" spans="6:7" x14ac:dyDescent="0.2">
      <c r="F1343" s="6"/>
      <c r="G1343" s="6"/>
    </row>
    <row r="1344" spans="6:7" x14ac:dyDescent="0.2">
      <c r="F1344" s="6"/>
      <c r="G1344" s="6"/>
    </row>
    <row r="1345" spans="6:7" x14ac:dyDescent="0.2">
      <c r="F1345" s="6"/>
      <c r="G1345" s="6"/>
    </row>
    <row r="1346" spans="6:7" x14ac:dyDescent="0.2">
      <c r="F1346" s="6"/>
      <c r="G1346" s="6"/>
    </row>
    <row r="1347" spans="6:7" x14ac:dyDescent="0.2">
      <c r="F1347" s="6"/>
      <c r="G1347" s="6"/>
    </row>
    <row r="1348" spans="6:7" x14ac:dyDescent="0.2">
      <c r="F1348" s="6"/>
      <c r="G1348" s="6"/>
    </row>
    <row r="1349" spans="6:7" x14ac:dyDescent="0.2">
      <c r="F1349" s="6"/>
      <c r="G1349" s="6"/>
    </row>
    <row r="1350" spans="6:7" x14ac:dyDescent="0.2">
      <c r="F1350" s="6"/>
      <c r="G1350" s="6"/>
    </row>
    <row r="1351" spans="6:7" x14ac:dyDescent="0.2">
      <c r="F1351" s="6"/>
      <c r="G1351" s="6"/>
    </row>
    <row r="1352" spans="6:7" x14ac:dyDescent="0.2">
      <c r="F1352" s="6"/>
      <c r="G1352" s="6"/>
    </row>
    <row r="1353" spans="6:7" x14ac:dyDescent="0.2">
      <c r="F1353" s="6"/>
      <c r="G1353" s="6"/>
    </row>
    <row r="1354" spans="6:7" x14ac:dyDescent="0.2">
      <c r="F1354" s="6"/>
      <c r="G1354" s="6"/>
    </row>
    <row r="1355" spans="6:7" x14ac:dyDescent="0.2">
      <c r="F1355" s="6"/>
      <c r="G1355" s="6"/>
    </row>
    <row r="1356" spans="6:7" x14ac:dyDescent="0.2">
      <c r="F1356" s="6"/>
      <c r="G1356" s="6"/>
    </row>
    <row r="1357" spans="6:7" x14ac:dyDescent="0.2">
      <c r="F1357" s="6"/>
      <c r="G1357" s="6"/>
    </row>
    <row r="1358" spans="6:7" x14ac:dyDescent="0.2">
      <c r="F1358" s="6"/>
      <c r="G1358" s="6"/>
    </row>
    <row r="1359" spans="6:7" x14ac:dyDescent="0.2">
      <c r="F1359" s="6"/>
      <c r="G1359" s="6"/>
    </row>
    <row r="1360" spans="6:7" x14ac:dyDescent="0.2">
      <c r="F1360" s="6"/>
      <c r="G1360" s="6"/>
    </row>
    <row r="1361" spans="6:7" x14ac:dyDescent="0.2">
      <c r="F1361" s="6"/>
      <c r="G1361" s="6"/>
    </row>
    <row r="1362" spans="6:7" x14ac:dyDescent="0.2">
      <c r="F1362" s="6"/>
      <c r="G1362" s="6"/>
    </row>
    <row r="1363" spans="6:7" x14ac:dyDescent="0.2">
      <c r="F1363" s="6"/>
      <c r="G1363" s="6"/>
    </row>
    <row r="1364" spans="6:7" x14ac:dyDescent="0.2">
      <c r="F1364" s="6"/>
      <c r="G1364" s="6"/>
    </row>
    <row r="1365" spans="6:7" x14ac:dyDescent="0.2">
      <c r="F1365" s="6"/>
      <c r="G1365" s="6"/>
    </row>
    <row r="1366" spans="6:7" x14ac:dyDescent="0.2">
      <c r="F1366" s="6"/>
      <c r="G1366" s="6"/>
    </row>
    <row r="1367" spans="6:7" x14ac:dyDescent="0.2">
      <c r="F1367" s="6"/>
      <c r="G1367" s="6"/>
    </row>
    <row r="1368" spans="6:7" x14ac:dyDescent="0.2">
      <c r="F1368" s="6"/>
      <c r="G1368" s="6"/>
    </row>
    <row r="1369" spans="6:7" x14ac:dyDescent="0.2">
      <c r="F1369" s="6"/>
      <c r="G1369" s="6"/>
    </row>
    <row r="1370" spans="6:7" x14ac:dyDescent="0.2">
      <c r="F1370" s="6"/>
      <c r="G1370" s="6"/>
    </row>
    <row r="1371" spans="6:7" x14ac:dyDescent="0.2">
      <c r="F1371" s="6"/>
      <c r="G1371" s="6"/>
    </row>
    <row r="1372" spans="6:7" x14ac:dyDescent="0.2">
      <c r="F1372" s="6"/>
      <c r="G1372" s="6"/>
    </row>
    <row r="1373" spans="6:7" x14ac:dyDescent="0.2">
      <c r="F1373" s="6"/>
      <c r="G1373" s="6"/>
    </row>
    <row r="1374" spans="6:7" x14ac:dyDescent="0.2">
      <c r="F1374" s="6"/>
      <c r="G1374" s="6"/>
    </row>
    <row r="1375" spans="6:7" x14ac:dyDescent="0.2">
      <c r="F1375" s="6"/>
      <c r="G1375" s="6"/>
    </row>
    <row r="1376" spans="6:7" x14ac:dyDescent="0.2">
      <c r="F1376" s="6"/>
      <c r="G1376" s="6"/>
    </row>
    <row r="1377" spans="6:7" x14ac:dyDescent="0.2">
      <c r="F1377" s="6"/>
      <c r="G1377" s="6"/>
    </row>
    <row r="1378" spans="6:7" x14ac:dyDescent="0.2">
      <c r="F1378" s="6"/>
      <c r="G1378" s="6"/>
    </row>
    <row r="1379" spans="6:7" x14ac:dyDescent="0.2">
      <c r="F1379" s="6"/>
      <c r="G1379" s="6"/>
    </row>
    <row r="1380" spans="6:7" x14ac:dyDescent="0.2">
      <c r="F1380" s="6"/>
      <c r="G1380" s="6"/>
    </row>
    <row r="1381" spans="6:7" x14ac:dyDescent="0.2">
      <c r="F1381" s="6"/>
      <c r="G1381" s="6"/>
    </row>
    <row r="1382" spans="6:7" x14ac:dyDescent="0.2">
      <c r="F1382" s="6"/>
      <c r="G1382" s="6"/>
    </row>
    <row r="1383" spans="6:7" x14ac:dyDescent="0.2">
      <c r="F1383" s="6"/>
      <c r="G1383" s="6"/>
    </row>
    <row r="1384" spans="6:7" x14ac:dyDescent="0.2">
      <c r="F1384" s="6"/>
      <c r="G1384" s="6"/>
    </row>
    <row r="1385" spans="6:7" x14ac:dyDescent="0.2">
      <c r="F1385" s="6"/>
      <c r="G1385" s="6"/>
    </row>
    <row r="1386" spans="6:7" x14ac:dyDescent="0.2">
      <c r="F1386" s="6"/>
      <c r="G1386" s="6"/>
    </row>
    <row r="1387" spans="6:7" x14ac:dyDescent="0.2">
      <c r="F1387" s="6"/>
      <c r="G1387" s="6"/>
    </row>
    <row r="1388" spans="6:7" x14ac:dyDescent="0.2">
      <c r="F1388" s="6"/>
      <c r="G1388" s="6"/>
    </row>
    <row r="1389" spans="6:7" x14ac:dyDescent="0.2">
      <c r="F1389" s="6"/>
      <c r="G1389" s="6"/>
    </row>
    <row r="1390" spans="6:7" x14ac:dyDescent="0.2">
      <c r="F1390" s="6"/>
      <c r="G1390" s="6"/>
    </row>
    <row r="1391" spans="6:7" x14ac:dyDescent="0.2">
      <c r="F1391" s="6"/>
      <c r="G1391" s="6"/>
    </row>
    <row r="1392" spans="6:7" x14ac:dyDescent="0.2">
      <c r="F1392" s="6"/>
      <c r="G1392" s="6"/>
    </row>
    <row r="1393" spans="6:7" x14ac:dyDescent="0.2">
      <c r="F1393" s="6"/>
      <c r="G1393" s="6"/>
    </row>
    <row r="1394" spans="6:7" x14ac:dyDescent="0.2">
      <c r="F1394" s="6"/>
      <c r="G1394" s="6"/>
    </row>
    <row r="1395" spans="6:7" x14ac:dyDescent="0.2">
      <c r="F1395" s="6"/>
      <c r="G1395" s="6"/>
    </row>
    <row r="1396" spans="6:7" x14ac:dyDescent="0.2">
      <c r="F1396" s="6"/>
      <c r="G1396" s="6"/>
    </row>
    <row r="1397" spans="6:7" x14ac:dyDescent="0.2">
      <c r="F1397" s="6"/>
      <c r="G1397" s="6"/>
    </row>
    <row r="1398" spans="6:7" x14ac:dyDescent="0.2">
      <c r="F1398" s="6"/>
      <c r="G1398" s="6"/>
    </row>
    <row r="1399" spans="6:7" x14ac:dyDescent="0.2">
      <c r="F1399" s="6"/>
      <c r="G1399" s="6"/>
    </row>
    <row r="1400" spans="6:7" x14ac:dyDescent="0.2">
      <c r="F1400" s="6"/>
      <c r="G1400" s="6"/>
    </row>
    <row r="1401" spans="6:7" x14ac:dyDescent="0.2">
      <c r="F1401" s="6"/>
      <c r="G1401" s="6"/>
    </row>
    <row r="1402" spans="6:7" x14ac:dyDescent="0.2">
      <c r="F1402" s="6"/>
      <c r="G1402" s="6"/>
    </row>
    <row r="1403" spans="6:7" x14ac:dyDescent="0.2">
      <c r="F1403" s="6"/>
      <c r="G1403" s="6"/>
    </row>
    <row r="1404" spans="6:7" x14ac:dyDescent="0.2">
      <c r="F1404" s="6"/>
      <c r="G1404" s="6"/>
    </row>
    <row r="1405" spans="6:7" x14ac:dyDescent="0.2">
      <c r="F1405" s="6"/>
      <c r="G1405" s="6"/>
    </row>
    <row r="1406" spans="6:7" x14ac:dyDescent="0.2">
      <c r="F1406" s="6"/>
      <c r="G1406" s="6"/>
    </row>
    <row r="1407" spans="6:7" x14ac:dyDescent="0.2">
      <c r="F1407" s="6"/>
      <c r="G1407" s="6"/>
    </row>
    <row r="1408" spans="6:7" x14ac:dyDescent="0.2">
      <c r="F1408" s="6"/>
      <c r="G1408" s="6"/>
    </row>
    <row r="1409" spans="6:7" x14ac:dyDescent="0.2">
      <c r="F1409" s="6"/>
      <c r="G1409" s="6"/>
    </row>
    <row r="1410" spans="6:7" x14ac:dyDescent="0.2">
      <c r="F1410" s="6"/>
      <c r="G1410" s="6"/>
    </row>
    <row r="1411" spans="6:7" x14ac:dyDescent="0.2">
      <c r="F1411" s="6"/>
      <c r="G1411" s="6"/>
    </row>
    <row r="1412" spans="6:7" x14ac:dyDescent="0.2">
      <c r="F1412" s="6"/>
      <c r="G1412" s="6"/>
    </row>
    <row r="1413" spans="6:7" x14ac:dyDescent="0.2">
      <c r="F1413" s="6"/>
      <c r="G1413" s="6"/>
    </row>
    <row r="1414" spans="6:7" x14ac:dyDescent="0.2">
      <c r="F1414" s="6"/>
      <c r="G1414" s="6"/>
    </row>
    <row r="1415" spans="6:7" x14ac:dyDescent="0.2">
      <c r="F1415" s="6"/>
      <c r="G1415" s="6"/>
    </row>
    <row r="1416" spans="6:7" x14ac:dyDescent="0.2">
      <c r="F1416" s="6"/>
      <c r="G1416" s="6"/>
    </row>
    <row r="1417" spans="6:7" x14ac:dyDescent="0.2">
      <c r="F1417" s="6"/>
      <c r="G1417" s="6"/>
    </row>
    <row r="1418" spans="6:7" x14ac:dyDescent="0.2">
      <c r="F1418" s="6"/>
      <c r="G1418" s="6"/>
    </row>
    <row r="1419" spans="6:7" x14ac:dyDescent="0.2">
      <c r="F1419" s="6"/>
      <c r="G1419" s="6"/>
    </row>
    <row r="1420" spans="6:7" x14ac:dyDescent="0.2">
      <c r="F1420" s="6"/>
      <c r="G1420" s="6"/>
    </row>
    <row r="1421" spans="6:7" x14ac:dyDescent="0.2">
      <c r="F1421" s="6"/>
      <c r="G1421" s="6"/>
    </row>
    <row r="1422" spans="6:7" x14ac:dyDescent="0.2">
      <c r="F1422" s="6"/>
      <c r="G1422" s="6"/>
    </row>
    <row r="1423" spans="6:7" x14ac:dyDescent="0.2">
      <c r="F1423" s="6"/>
      <c r="G1423" s="6"/>
    </row>
    <row r="1424" spans="6:7" x14ac:dyDescent="0.2">
      <c r="F1424" s="6"/>
      <c r="G1424" s="6"/>
    </row>
    <row r="1425" spans="6:7" x14ac:dyDescent="0.2">
      <c r="F1425" s="6"/>
      <c r="G1425" s="6"/>
    </row>
    <row r="1426" spans="6:7" x14ac:dyDescent="0.2">
      <c r="F1426" s="6"/>
      <c r="G1426" s="6"/>
    </row>
    <row r="1427" spans="6:7" x14ac:dyDescent="0.2">
      <c r="F1427" s="6"/>
      <c r="G1427" s="6"/>
    </row>
    <row r="1428" spans="6:7" x14ac:dyDescent="0.2">
      <c r="F1428" s="6"/>
      <c r="G1428" s="6"/>
    </row>
    <row r="1429" spans="6:7" x14ac:dyDescent="0.2">
      <c r="F1429" s="6"/>
      <c r="G1429" s="6"/>
    </row>
    <row r="1430" spans="6:7" x14ac:dyDescent="0.2">
      <c r="F1430" s="6"/>
      <c r="G1430" s="6"/>
    </row>
    <row r="1431" spans="6:7" x14ac:dyDescent="0.2">
      <c r="F1431" s="6"/>
      <c r="G1431" s="6"/>
    </row>
    <row r="1432" spans="6:7" x14ac:dyDescent="0.2">
      <c r="F1432" s="6"/>
      <c r="G1432" s="6"/>
    </row>
    <row r="1433" spans="6:7" x14ac:dyDescent="0.2">
      <c r="F1433" s="6"/>
      <c r="G1433" s="6"/>
    </row>
    <row r="1434" spans="6:7" x14ac:dyDescent="0.2">
      <c r="F1434" s="6"/>
      <c r="G1434" s="6"/>
    </row>
    <row r="1435" spans="6:7" x14ac:dyDescent="0.2">
      <c r="F1435" s="6"/>
      <c r="G1435" s="6"/>
    </row>
    <row r="1436" spans="6:7" x14ac:dyDescent="0.2">
      <c r="F1436" s="6"/>
      <c r="G1436" s="6"/>
    </row>
    <row r="1437" spans="6:7" x14ac:dyDescent="0.2">
      <c r="F1437" s="6"/>
      <c r="G1437" s="6"/>
    </row>
    <row r="1438" spans="6:7" x14ac:dyDescent="0.2">
      <c r="F1438" s="6"/>
      <c r="G1438" s="6"/>
    </row>
    <row r="1439" spans="6:7" x14ac:dyDescent="0.2">
      <c r="F1439" s="6"/>
      <c r="G1439" s="6"/>
    </row>
    <row r="1440" spans="6:7" x14ac:dyDescent="0.2">
      <c r="F1440" s="6"/>
      <c r="G1440" s="6"/>
    </row>
    <row r="1441" spans="6:7" x14ac:dyDescent="0.2">
      <c r="F1441" s="6"/>
      <c r="G1441" s="6"/>
    </row>
    <row r="1442" spans="6:7" x14ac:dyDescent="0.2">
      <c r="F1442" s="6"/>
      <c r="G1442" s="6"/>
    </row>
    <row r="1443" spans="6:7" x14ac:dyDescent="0.2">
      <c r="F1443" s="6"/>
      <c r="G1443" s="6"/>
    </row>
    <row r="1444" spans="6:7" x14ac:dyDescent="0.2">
      <c r="F1444" s="6"/>
      <c r="G1444" s="6"/>
    </row>
    <row r="1445" spans="6:7" x14ac:dyDescent="0.2">
      <c r="F1445" s="6"/>
      <c r="G1445" s="6"/>
    </row>
    <row r="1446" spans="6:7" x14ac:dyDescent="0.2">
      <c r="F1446" s="6"/>
      <c r="G1446" s="6"/>
    </row>
    <row r="1447" spans="6:7" x14ac:dyDescent="0.2">
      <c r="F1447" s="6"/>
      <c r="G1447" s="6"/>
    </row>
    <row r="1448" spans="6:7" x14ac:dyDescent="0.2">
      <c r="F1448" s="6"/>
      <c r="G1448" s="6"/>
    </row>
    <row r="1449" spans="6:7" x14ac:dyDescent="0.2">
      <c r="F1449" s="6"/>
      <c r="G1449" s="6"/>
    </row>
    <row r="1450" spans="6:7" x14ac:dyDescent="0.2">
      <c r="F1450" s="6"/>
      <c r="G1450" s="6"/>
    </row>
    <row r="1451" spans="6:7" x14ac:dyDescent="0.2">
      <c r="F1451" s="6"/>
      <c r="G1451" s="6"/>
    </row>
    <row r="1452" spans="6:7" x14ac:dyDescent="0.2">
      <c r="F1452" s="6"/>
      <c r="G1452" s="6"/>
    </row>
    <row r="1453" spans="6:7" x14ac:dyDescent="0.2">
      <c r="F1453" s="6"/>
      <c r="G1453" s="6"/>
    </row>
    <row r="1454" spans="6:7" x14ac:dyDescent="0.2">
      <c r="F1454" s="6"/>
      <c r="G1454" s="6"/>
    </row>
    <row r="1455" spans="6:7" x14ac:dyDescent="0.2">
      <c r="F1455" s="6"/>
      <c r="G1455" s="6"/>
    </row>
    <row r="1456" spans="6:7" x14ac:dyDescent="0.2">
      <c r="F1456" s="6"/>
      <c r="G1456" s="6"/>
    </row>
    <row r="1457" spans="6:7" x14ac:dyDescent="0.2">
      <c r="F1457" s="2"/>
      <c r="G1457" s="2"/>
    </row>
  </sheetData>
  <autoFilter ref="L7:L108" xr:uid="{00000000-0001-0000-0100-000000000000}"/>
  <phoneticPr fontId="0" type="noConversion"/>
  <conditionalFormatting sqref="L109:L123 L8:L37">
    <cfRule type="cellIs" dxfId="2" priority="1" stopIfTrue="1" operator="between">
      <formula>6</formula>
      <formula>9</formula>
    </cfRule>
    <cfRule type="cellIs" dxfId="1" priority="2" stopIfTrue="1" operator="between">
      <formula>3</formula>
      <formula>4</formula>
    </cfRule>
    <cfRule type="cellIs" dxfId="0" priority="3" stopIfTrue="1" operator="between">
      <formula>1</formula>
      <formula>2</formula>
    </cfRule>
  </conditionalFormatting>
  <dataValidations count="3">
    <dataValidation type="list" allowBlank="1" showInputMessage="1" showErrorMessage="1" sqref="H109:H123 H8:H37" xr:uid="{F0EA7EEE-AEA0-4873-9A08-8BE1F1FD7CBD}">
      <formula1>"Alta,Media,Baja"</formula1>
    </dataValidation>
    <dataValidation type="list" allowBlank="1" showInputMessage="1" showErrorMessage="1" sqref="J109:J123 J8:J37" xr:uid="{F11D20E3-2AB8-49DA-A0A2-7C8EAB6F9A35}">
      <formula1>"Alto,Medio,Bajo"</formula1>
    </dataValidation>
    <dataValidation type="list" allowBlank="1" showInputMessage="1" showErrorMessage="1" sqref="N109:N123 N8:N37" xr:uid="{E52DB112-B01E-4F49-BE30-CC66CF4E5ABA}">
      <formula1>"Aceptar,Evitar,Delegar,Mitigar"</formula1>
    </dataValidation>
  </dataValidations>
  <pageMargins left="0" right="0" top="0.98425196850393704" bottom="0" header="0" footer="0"/>
  <pageSetup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DD422EF4B9D47B4C69DF8AF361FDE" ma:contentTypeVersion="2" ma:contentTypeDescription="Crear nuevo documento." ma:contentTypeScope="" ma:versionID="6200c922dbe5f8db4d0bccf236b4170e">
  <xsd:schema xmlns:xsd="http://www.w3.org/2001/XMLSchema" xmlns:p="http://schemas.microsoft.com/office/2006/metadata/properties" targetNamespace="http://schemas.microsoft.com/office/2006/metadata/properties" ma:root="true" ma:fieldsID="1958f83c45950aad0f13a5a7bb53bf2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88146F-8313-4F14-9E8E-59F7C9A50E1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5B36F81-751E-4A8D-B556-B94E026D8BDF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6354AA7-AAD0-48C8-9BB4-5C3D320437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86CA438A-4615-4A45-9496-DE171E1A11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Referencias de Riesgos</vt:lpstr>
      <vt:lpstr>Riesgos</vt:lpstr>
      <vt:lpstr>Riesgos!Área_de_impresión</vt:lpstr>
    </vt:vector>
  </TitlesOfParts>
  <Company>Bell Technologies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 Riesgos, Problemas y Cambios</dc:title>
  <dc:subject>cMAP</dc:subject>
  <dc:creator>Sergio Concha C.</dc:creator>
  <dc:description>Planilla excel con el listado de riesgos, problemas y control de cambios del proyecto.</dc:description>
  <cp:lastModifiedBy>Nicolas Caviedes</cp:lastModifiedBy>
  <cp:lastPrinted>2014-01-28T14:00:57Z</cp:lastPrinted>
  <dcterms:created xsi:type="dcterms:W3CDTF">2007-12-18T10:15:28Z</dcterms:created>
  <dcterms:modified xsi:type="dcterms:W3CDTF">2025-09-23T21:03:15Z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</Properties>
</file>