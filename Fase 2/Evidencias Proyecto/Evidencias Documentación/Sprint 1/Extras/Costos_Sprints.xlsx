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5m\Downloads\"/>
    </mc:Choice>
  </mc:AlternateContent>
  <xr:revisionPtr revIDLastSave="0" documentId="13_ncr:1_{7CBF8B92-692E-46DE-B4DA-5B9DB7D28E36}" xr6:coauthVersionLast="47" xr6:coauthVersionMax="47" xr10:uidLastSave="{00000000-0000-0000-0000-000000000000}"/>
  <bookViews>
    <workbookView xWindow="4680" yWindow="3405" windowWidth="21600" windowHeight="10830" xr2:uid="{00000000-000D-0000-FFFF-FFFF00000000}"/>
  </bookViews>
  <sheets>
    <sheet name="Se debe considerar el sprint  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1" i="1"/>
  <c r="H13" i="1"/>
  <c r="H14" i="1"/>
  <c r="H15" i="1"/>
  <c r="H12" i="1"/>
</calcChain>
</file>

<file path=xl/sharedStrings.xml><?xml version="1.0" encoding="utf-8"?>
<sst xmlns="http://schemas.openxmlformats.org/spreadsheetml/2006/main" count="20" uniqueCount="20">
  <si>
    <t>Etapa</t>
  </si>
  <si>
    <t>Actividades Clave (Según Jira y Bitácora)</t>
  </si>
  <si>
    <t>Horas Equipo</t>
  </si>
  <si>
    <t>Costo Total (CLP)</t>
  </si>
  <si>
    <t>SPRINT 0</t>
  </si>
  <si>
    <t>Setup &amp; Planning: Configuración de Bitbucket, definición de Base de Datos, creación del Backlog y entorno de desarrollo.</t>
  </si>
  <si>
    <t>SPRINT 1</t>
  </si>
  <si>
    <t>MVP Inicial: Desarrollo del Login (Autenticación), CRUD de Productos y estructura base del Frontend.</t>
  </si>
  <si>
    <t>SPRINT 2</t>
  </si>
  <si>
    <t>Core Business: Desarrollo del Dashboard y Lector QR. (Fase de mayor carga de desarrollo backend).</t>
  </si>
  <si>
    <t>SPRINT 3</t>
  </si>
  <si>
    <t>Reportabilidad: Historial de Movimientos y Generación de PDFs. Resolución de deuda técnica.</t>
  </si>
  <si>
    <t>SPRINT 4</t>
  </si>
  <si>
    <t>Cierre: Sistema de Alertas, Notificaciones (Email), QA Final, documentación y entrega.</t>
  </si>
  <si>
    <t>Ciclo Completo de Desarrollo</t>
  </si>
  <si>
    <t>Total proyecto</t>
  </si>
  <si>
    <t>Valor hora</t>
  </si>
  <si>
    <t xml:space="preserve"> - </t>
  </si>
  <si>
    <t>Para estimar el costo de la Hora Hombre (HH), se ha adoptado como base el valor de 1 UF por cada hora de trabajo. En este análisis, se consideró un valor referencial de 1 UF equivalente a $39.506 CLP. El gasto mensual en Recursos Humanos se calculó como un promedio distribuido proporcionalmente durante las 11 semanas que abarca el proyecto.</t>
  </si>
  <si>
    <t>A considerar: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</si>
</sst>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15">
    <xf numFmtId="0" fontId="0" fillId="0" borderId="0" xfId="0"/>
    <xf numFmtId="6" fontId="1" fillId="0" borderId="0" xfId="0" applyNumberFormat="1" applyFont="1"/>
    <xf numFmtId="0" fontId="1" fillId="0" borderId="1" xfId="0" applyFont="1" applyBorder="1" applyAlignment="1">
      <alignment wrapText="1"/>
    </xf>
    <xf numFmtId="0" fontId="3" fillId="2" borderId="1" xfId="0" applyFont="1" applyFill="1" applyBorder="1"/>
    <xf numFmtId="6" fontId="3" fillId="2" borderId="1" xfId="0" applyNumberFormat="1" applyFont="1" applyFill="1" applyBorder="1"/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 vertical="center"/>
    </xf>
    <xf numFmtId="6" fontId="1" fillId="0" borderId="1" xfId="0" applyNumberFormat="1" applyFont="1" applyBorder="1" applyAlignment="1">
      <alignment horizontal="right" vertical="center"/>
    </xf>
    <xf numFmtId="164" fontId="1" fillId="0" borderId="1" xfId="1" applyNumberFormat="1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5" fillId="0" borderId="0" xfId="0" applyFont="1"/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D1:I25"/>
  <sheetViews>
    <sheetView tabSelected="1" topLeftCell="A8" workbookViewId="0">
      <selection activeCell="D10" sqref="D10:H17"/>
    </sheetView>
  </sheetViews>
  <sheetFormatPr baseColWidth="10" defaultColWidth="12.5703125" defaultRowHeight="15.75" customHeight="1" x14ac:dyDescent="0.2"/>
  <cols>
    <col min="4" max="4" width="15.42578125" customWidth="1"/>
    <col min="5" max="5" width="60.140625" customWidth="1"/>
    <col min="6" max="6" width="19.28515625" customWidth="1"/>
    <col min="7" max="7" width="18.7109375" customWidth="1"/>
    <col min="8" max="8" width="15.28515625" customWidth="1"/>
    <col min="9" max="9" width="18.85546875" customWidth="1"/>
  </cols>
  <sheetData>
    <row r="1" spans="4:9" ht="12.75" x14ac:dyDescent="0.2"/>
    <row r="2" spans="4:9" ht="12.75" x14ac:dyDescent="0.2"/>
    <row r="3" spans="4:9" ht="12.75" x14ac:dyDescent="0.2"/>
    <row r="4" spans="4:9" ht="12.75" x14ac:dyDescent="0.2"/>
    <row r="5" spans="4:9" ht="12.75" x14ac:dyDescent="0.2"/>
    <row r="6" spans="4:9" ht="12.75" x14ac:dyDescent="0.2"/>
    <row r="8" spans="4:9" ht="12.75" x14ac:dyDescent="0.2"/>
    <row r="10" spans="4:9" ht="15.75" customHeight="1" x14ac:dyDescent="0.2">
      <c r="D10" s="9" t="s">
        <v>0</v>
      </c>
      <c r="E10" s="9" t="s">
        <v>1</v>
      </c>
      <c r="F10" s="9" t="s">
        <v>16</v>
      </c>
      <c r="G10" s="9" t="s">
        <v>2</v>
      </c>
      <c r="H10" s="9" t="s">
        <v>3</v>
      </c>
    </row>
    <row r="11" spans="4:9" ht="25.5" customHeight="1" x14ac:dyDescent="0.2">
      <c r="D11" s="10" t="s">
        <v>4</v>
      </c>
      <c r="E11" s="2" t="s">
        <v>5</v>
      </c>
      <c r="F11" s="8">
        <v>39526</v>
      </c>
      <c r="G11" s="6">
        <v>45</v>
      </c>
      <c r="H11" s="7">
        <f>F11*G11</f>
        <v>1778670</v>
      </c>
    </row>
    <row r="12" spans="4:9" ht="27" customHeight="1" x14ac:dyDescent="0.2">
      <c r="D12" s="10" t="s">
        <v>6</v>
      </c>
      <c r="E12" s="2" t="s">
        <v>7</v>
      </c>
      <c r="F12" s="8">
        <v>39526</v>
      </c>
      <c r="G12" s="6">
        <v>80</v>
      </c>
      <c r="H12" s="7">
        <f>F12*G12</f>
        <v>3162080</v>
      </c>
      <c r="I12" s="1"/>
    </row>
    <row r="13" spans="4:9" ht="26.25" customHeight="1" x14ac:dyDescent="0.2">
      <c r="D13" s="10" t="s">
        <v>8</v>
      </c>
      <c r="E13" s="2" t="s">
        <v>9</v>
      </c>
      <c r="F13" s="8">
        <v>39526</v>
      </c>
      <c r="G13" s="6">
        <v>100</v>
      </c>
      <c r="H13" s="7">
        <f t="shared" ref="H13:H15" si="0">F13*G13</f>
        <v>3952600</v>
      </c>
      <c r="I13" s="1"/>
    </row>
    <row r="14" spans="4:9" ht="29.25" customHeight="1" x14ac:dyDescent="0.2">
      <c r="D14" s="10" t="s">
        <v>10</v>
      </c>
      <c r="E14" s="2" t="s">
        <v>11</v>
      </c>
      <c r="F14" s="8">
        <v>39526</v>
      </c>
      <c r="G14" s="6">
        <v>95</v>
      </c>
      <c r="H14" s="7">
        <f t="shared" si="0"/>
        <v>3754970</v>
      </c>
      <c r="I14" s="1"/>
    </row>
    <row r="15" spans="4:9" ht="28.5" customHeight="1" x14ac:dyDescent="0.2">
      <c r="D15" s="10" t="s">
        <v>12</v>
      </c>
      <c r="E15" s="2" t="s">
        <v>13</v>
      </c>
      <c r="F15" s="8">
        <v>39526</v>
      </c>
      <c r="G15" s="6">
        <v>60</v>
      </c>
      <c r="H15" s="7">
        <f t="shared" si="0"/>
        <v>2371560</v>
      </c>
      <c r="I15" s="1"/>
    </row>
    <row r="17" spans="4:9" ht="15.75" customHeight="1" x14ac:dyDescent="0.2">
      <c r="D17" s="3" t="s">
        <v>15</v>
      </c>
      <c r="E17" s="3" t="s">
        <v>14</v>
      </c>
      <c r="F17" s="5" t="s">
        <v>17</v>
      </c>
      <c r="G17" s="3">
        <v>380</v>
      </c>
      <c r="H17" s="4">
        <f>F15*G17</f>
        <v>15019880</v>
      </c>
      <c r="I17" s="1"/>
    </row>
    <row r="20" spans="4:9" ht="15.75" customHeight="1" x14ac:dyDescent="0.2">
      <c r="E20" s="11" t="s">
        <v>19</v>
      </c>
    </row>
    <row r="21" spans="4:9" ht="15.75" customHeight="1" x14ac:dyDescent="0.2">
      <c r="E21" s="12" t="s">
        <v>18</v>
      </c>
    </row>
    <row r="22" spans="4:9" ht="15.75" customHeight="1" x14ac:dyDescent="0.2">
      <c r="E22" s="13"/>
    </row>
    <row r="23" spans="4:9" ht="15.75" customHeight="1" x14ac:dyDescent="0.2">
      <c r="E23" s="13"/>
    </row>
    <row r="24" spans="4:9" ht="15.75" customHeight="1" x14ac:dyDescent="0.2">
      <c r="E24" s="13"/>
    </row>
    <row r="25" spans="4:9" ht="15.75" customHeight="1" x14ac:dyDescent="0.2">
      <c r="E25" s="14"/>
    </row>
  </sheetData>
  <mergeCells count="1">
    <mergeCell ref="E21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 debe considerar el sprint 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Carlos xiu fu Plaza Espinosa</cp:lastModifiedBy>
  <dcterms:modified xsi:type="dcterms:W3CDTF">2025-11-21T05:52:13Z</dcterms:modified>
</cp:coreProperties>
</file>