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5m\Downloads\Capstone_2025_Grupo8-main\Fase 2\Evidencias Proyecto\Evidencias Documentación\Sprint 2\"/>
    </mc:Choice>
  </mc:AlternateContent>
  <xr:revisionPtr revIDLastSave="0" documentId="13_ncr:1_{B72E79B8-28E8-4738-A1F9-5A1E42393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rhKRKVuFG1V5CNGQ4DfITfFca+hCPhKwpCuwNaVApM="/>
    </ext>
  </extLst>
</workbook>
</file>

<file path=xl/calcChain.xml><?xml version="1.0" encoding="utf-8"?>
<calcChain xmlns="http://schemas.openxmlformats.org/spreadsheetml/2006/main">
  <c r="I8" i="1" l="1"/>
  <c r="L8" i="1" s="1"/>
  <c r="O8" i="1" s="1"/>
  <c r="R8" i="1" s="1"/>
  <c r="U8" i="1" s="1"/>
  <c r="X8" i="1" s="1"/>
  <c r="AA8" i="1" s="1"/>
  <c r="AD8" i="1" s="1"/>
  <c r="AG8" i="1" s="1"/>
  <c r="AJ8" i="1" s="1"/>
  <c r="AM8" i="1" s="1"/>
  <c r="AP8" i="1" s="1"/>
  <c r="AS8" i="1" s="1"/>
  <c r="AV8" i="1" s="1"/>
  <c r="AY8" i="1" s="1"/>
  <c r="BB8" i="1" s="1"/>
  <c r="BE8" i="1" s="1"/>
  <c r="BH8" i="1" s="1"/>
  <c r="BK8" i="1" s="1"/>
  <c r="BN8" i="1" s="1"/>
  <c r="BP8" i="1"/>
  <c r="BQ8" i="1" s="1"/>
  <c r="BP11" i="1"/>
  <c r="BQ11" i="1" s="1"/>
  <c r="I11" i="1"/>
  <c r="L11" i="1" s="1"/>
  <c r="O11" i="1" s="1"/>
  <c r="R11" i="1" s="1"/>
  <c r="U11" i="1" s="1"/>
  <c r="X11" i="1" s="1"/>
  <c r="AA11" i="1" s="1"/>
  <c r="AD11" i="1" s="1"/>
  <c r="AG11" i="1" s="1"/>
  <c r="AJ11" i="1" s="1"/>
  <c r="AM11" i="1" s="1"/>
  <c r="AP11" i="1" s="1"/>
  <c r="AS11" i="1" s="1"/>
  <c r="AV11" i="1" s="1"/>
  <c r="AY11" i="1" s="1"/>
  <c r="BB11" i="1" s="1"/>
  <c r="BE11" i="1" s="1"/>
  <c r="BH11" i="1" s="1"/>
  <c r="BK11" i="1" s="1"/>
  <c r="BN11" i="1" s="1"/>
  <c r="BP10" i="1"/>
  <c r="BQ10" i="1" s="1"/>
  <c r="I10" i="1"/>
  <c r="L10" i="1" s="1"/>
  <c r="O10" i="1" s="1"/>
  <c r="R10" i="1" s="1"/>
  <c r="U10" i="1" s="1"/>
  <c r="X10" i="1" s="1"/>
  <c r="AA10" i="1" s="1"/>
  <c r="AD10" i="1" s="1"/>
  <c r="AG10" i="1" s="1"/>
  <c r="AJ10" i="1" s="1"/>
  <c r="AM10" i="1" s="1"/>
  <c r="AP10" i="1" s="1"/>
  <c r="AS10" i="1" s="1"/>
  <c r="AV10" i="1" s="1"/>
  <c r="AY10" i="1" s="1"/>
  <c r="BB10" i="1" s="1"/>
  <c r="BE10" i="1" s="1"/>
  <c r="BH10" i="1" s="1"/>
  <c r="BK10" i="1" s="1"/>
  <c r="BN10" i="1" s="1"/>
  <c r="BP9" i="1"/>
  <c r="BQ9" i="1" s="1"/>
  <c r="I9" i="1"/>
  <c r="L9" i="1" s="1"/>
  <c r="O9" i="1" s="1"/>
  <c r="R9" i="1" s="1"/>
  <c r="U9" i="1" s="1"/>
  <c r="X9" i="1" s="1"/>
  <c r="AA9" i="1" s="1"/>
  <c r="AD9" i="1" s="1"/>
  <c r="AG9" i="1" s="1"/>
  <c r="AJ9" i="1" s="1"/>
  <c r="AM9" i="1" s="1"/>
  <c r="AP9" i="1" s="1"/>
  <c r="AS9" i="1" s="1"/>
  <c r="AV9" i="1" s="1"/>
  <c r="AY9" i="1" s="1"/>
  <c r="BB9" i="1" s="1"/>
  <c r="BE9" i="1" s="1"/>
  <c r="BH9" i="1" s="1"/>
  <c r="BK9" i="1" s="1"/>
  <c r="BN9" i="1" s="1"/>
  <c r="BP6" i="1"/>
  <c r="BQ6" i="1" s="1"/>
  <c r="I6" i="1"/>
  <c r="L6" i="1" s="1"/>
  <c r="O6" i="1" s="1"/>
  <c r="R6" i="1" s="1"/>
  <c r="U6" i="1" s="1"/>
  <c r="X6" i="1" s="1"/>
  <c r="AA6" i="1" s="1"/>
  <c r="AD6" i="1" s="1"/>
  <c r="AG6" i="1" s="1"/>
  <c r="AJ6" i="1" s="1"/>
  <c r="AM6" i="1" s="1"/>
  <c r="AP6" i="1" s="1"/>
  <c r="AS6" i="1" s="1"/>
  <c r="AV6" i="1" s="1"/>
  <c r="AY6" i="1" s="1"/>
  <c r="BB6" i="1" s="1"/>
  <c r="BE6" i="1" s="1"/>
  <c r="BH6" i="1" s="1"/>
  <c r="BK6" i="1" s="1"/>
  <c r="BN6" i="1" s="1"/>
</calcChain>
</file>

<file path=xl/sharedStrings.xml><?xml version="1.0" encoding="utf-8"?>
<sst xmlns="http://schemas.openxmlformats.org/spreadsheetml/2006/main" count="94" uniqueCount="47">
  <si>
    <t>Metodologías ágiles: Lista de tareas de la iteración</t>
  </si>
  <si>
    <t>(Sprint Backlog)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</si>
  <si>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</si>
  <si>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</si>
  <si>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</si>
  <si>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</si>
  <si>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</si>
  <si>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</si>
  <si>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</si>
  <si>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</si>
  <si>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</si>
  <si>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</si>
  <si>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</si>
  <si>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</si>
  <si>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</si>
  <si>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</si>
  <si>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</si>
  <si>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</si>
  <si>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</si>
  <si>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</si>
  <si>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</si>
  <si>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</si>
  <si>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Total</t>
  </si>
  <si>
    <t>Identificador (ID) de item de product backlog</t>
  </si>
  <si>
    <t>Enunciado del item de Product Backlog</t>
  </si>
  <si>
    <t>Tarea</t>
  </si>
  <si>
    <t>Dueño / Voluntario</t>
  </si>
  <si>
    <t>Estatus</t>
  </si>
  <si>
    <t>Horas estimadas totales</t>
  </si>
  <si>
    <t>Cons.</t>
  </si>
  <si>
    <t>Rest.</t>
  </si>
  <si>
    <t>Yojan</t>
  </si>
  <si>
    <t>Pruebas</t>
  </si>
  <si>
    <t>Finalizada</t>
  </si>
  <si>
    <t>Sergio</t>
  </si>
  <si>
    <t>HU-05</t>
  </si>
  <si>
    <t>Visualizar historial de movimientos de Stock</t>
  </si>
  <si>
    <t>T3.1 Backend: Implementar endpoint GET con paginación para historial.</t>
  </si>
  <si>
    <t>T3.2 Frontend: Maquetar vista de "Historial" y tabla de datos</t>
  </si>
  <si>
    <t>T3.3 Integración: Conectar vista con endpoint y ajustar paginación.</t>
  </si>
  <si>
    <t>HU-06</t>
  </si>
  <si>
    <t>Generar reportes de stock (PDF)</t>
  </si>
  <si>
    <t>T3.4 Backend: Servicio de generación de PDF con librería iTextPDF</t>
  </si>
  <si>
    <t>T3.5 Frontend: Implementar botón de descarga y manejo de archivos</t>
  </si>
  <si>
    <t>T3.6 Pruebas: Verificar formato del PDF y consistencia de datos</t>
  </si>
  <si>
    <t>Nestor</t>
  </si>
  <si>
    <t>Proyecto: Stockify - Sprint: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</si>
</sst>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2"/>
      <color theme="1"/>
      <name val="Calibri"/>
    </font>
    <font>
      <sz val="11"/>
      <color theme="0"/>
      <name val="Calibri"/>
    </font>
    <font>
      <sz val="11"/>
      <name val="Calibri"/>
    </font>
    <font>
      <sz val="11"/>
      <color theme="1"/>
      <name val="Calibri"/>
      <family val="2"/>
    </font>
    <font>
      <b/>
      <sz val="16"/>
      <color rgb="FF1F497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right" vertical="top" wrapText="1"/>
    </xf>
    <xf numFmtId="0" fontId="1" fillId="4" borderId="5" xfId="0" applyFont="1" applyFill="1" applyBorder="1" applyAlignment="1">
      <alignment horizontal="right" vertical="top" wrapText="1"/>
    </xf>
    <xf numFmtId="0" fontId="1" fillId="5" borderId="5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1" fillId="0" borderId="7" xfId="0" applyFont="1" applyBorder="1" applyAlignment="1">
      <alignment horizontal="center" vertical="center"/>
    </xf>
    <xf numFmtId="0" fontId="4" fillId="0" borderId="8" xfId="0" applyFont="1" applyBorder="1"/>
    <xf numFmtId="0" fontId="1" fillId="0" borderId="7" xfId="0" applyFont="1" applyBorder="1" applyAlignment="1">
      <alignment horizontal="center" vertical="center" wrapText="1"/>
    </xf>
    <xf numFmtId="0" fontId="4" fillId="0" borderId="9" xfId="0" applyFont="1" applyBorder="1"/>
    <xf numFmtId="0" fontId="5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98"/>
  <sheetViews>
    <sheetView tabSelected="1" workbookViewId="0">
      <pane xSplit="6" ySplit="5" topLeftCell="AJ6" activePane="bottomRight" state="frozen"/>
      <selection pane="topRight" activeCell="G1" sqref="G1"/>
      <selection pane="bottomLeft" activeCell="A6" sqref="A6"/>
      <selection pane="bottomRight" activeCell="D14" sqref="D14"/>
    </sheetView>
  </sheetViews>
  <sheetFormatPr baseColWidth="10" defaultColWidth="14.42578125" defaultRowHeight="15" customHeight="1" x14ac:dyDescent="0.25"/>
  <cols>
    <col min="1" max="1" width="1.42578125" customWidth="1"/>
    <col min="2" max="2" width="16.42578125" customWidth="1"/>
    <col min="3" max="3" width="34" customWidth="1"/>
    <col min="4" max="4" width="30.7109375" customWidth="1"/>
    <col min="5" max="5" width="10.42578125" customWidth="1"/>
    <col min="6" max="6" width="11.85546875" customWidth="1"/>
    <col min="7" max="7" width="15.42578125" customWidth="1"/>
    <col min="8" max="8" width="5.85546875" customWidth="1"/>
    <col min="9" max="9" width="5.42578125" customWidth="1"/>
    <col min="10" max="10" width="2.7109375" customWidth="1"/>
    <col min="11" max="11" width="5.85546875" customWidth="1"/>
    <col min="12" max="12" width="5.42578125" customWidth="1"/>
    <col min="13" max="13" width="2.7109375" customWidth="1"/>
    <col min="14" max="14" width="5.85546875" customWidth="1"/>
    <col min="15" max="15" width="5.42578125" customWidth="1"/>
    <col min="16" max="16" width="2.7109375" customWidth="1"/>
    <col min="17" max="17" width="5.85546875" customWidth="1"/>
    <col min="18" max="18" width="5.42578125" customWidth="1"/>
    <col min="19" max="19" width="2.7109375" customWidth="1"/>
    <col min="20" max="20" width="5.85546875" customWidth="1"/>
    <col min="21" max="21" width="5.42578125" customWidth="1"/>
    <col min="22" max="22" width="2.7109375" customWidth="1"/>
    <col min="23" max="23" width="5.85546875" customWidth="1"/>
    <col min="24" max="24" width="5.42578125" customWidth="1"/>
    <col min="25" max="25" width="2.7109375" customWidth="1"/>
    <col min="26" max="26" width="5.85546875" customWidth="1"/>
    <col min="27" max="27" width="5.42578125" customWidth="1"/>
    <col min="28" max="28" width="2.7109375" customWidth="1"/>
    <col min="29" max="29" width="5.85546875" customWidth="1"/>
    <col min="30" max="30" width="5.42578125" customWidth="1"/>
    <col min="31" max="31" width="2.7109375" customWidth="1"/>
    <col min="32" max="32" width="5.85546875" customWidth="1"/>
    <col min="33" max="33" width="5.42578125" customWidth="1"/>
    <col min="34" max="34" width="2.7109375" customWidth="1"/>
    <col min="35" max="35" width="5.85546875" customWidth="1"/>
    <col min="36" max="36" width="5.42578125" customWidth="1"/>
    <col min="37" max="37" width="2.7109375" customWidth="1"/>
    <col min="38" max="38" width="5.85546875" customWidth="1"/>
    <col min="39" max="39" width="5.42578125" customWidth="1"/>
    <col min="40" max="40" width="2.7109375" customWidth="1"/>
    <col min="41" max="41" width="5.85546875" customWidth="1"/>
    <col min="42" max="42" width="5.42578125" customWidth="1"/>
    <col min="43" max="43" width="2.7109375" customWidth="1"/>
    <col min="44" max="44" width="5.85546875" customWidth="1"/>
    <col min="45" max="45" width="5.42578125" customWidth="1"/>
    <col min="46" max="46" width="2.7109375" customWidth="1"/>
    <col min="47" max="47" width="5.85546875" customWidth="1"/>
    <col min="48" max="48" width="5.42578125" customWidth="1"/>
    <col min="49" max="49" width="2.7109375" customWidth="1"/>
    <col min="50" max="50" width="5.85546875" customWidth="1"/>
    <col min="51" max="51" width="5.42578125" customWidth="1"/>
    <col min="52" max="52" width="2.7109375" customWidth="1"/>
    <col min="53" max="53" width="5.85546875" customWidth="1"/>
    <col min="54" max="54" width="5.42578125" customWidth="1"/>
    <col min="55" max="55" width="2.7109375" customWidth="1"/>
    <col min="56" max="56" width="5.85546875" customWidth="1"/>
    <col min="57" max="57" width="5.42578125" customWidth="1"/>
    <col min="58" max="58" width="2.7109375" customWidth="1"/>
    <col min="59" max="59" width="5.85546875" customWidth="1"/>
    <col min="60" max="60" width="5.42578125" customWidth="1"/>
    <col min="61" max="61" width="2.7109375" customWidth="1"/>
    <col min="62" max="62" width="5.85546875" customWidth="1"/>
    <col min="63" max="63" width="5.42578125" customWidth="1"/>
    <col min="64" max="64" width="2.7109375" customWidth="1"/>
    <col min="65" max="65" width="5.85546875" customWidth="1"/>
    <col min="66" max="66" width="5.42578125" customWidth="1"/>
    <col min="67" max="67" width="2.7109375" customWidth="1"/>
    <col min="68" max="68" width="5.85546875" customWidth="1"/>
    <col min="69" max="69" width="5.42578125" customWidth="1"/>
  </cols>
  <sheetData>
    <row r="1" spans="1:69" ht="28.5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8.5" x14ac:dyDescent="0.45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x14ac:dyDescent="0.35">
      <c r="A3" s="1"/>
      <c r="B3" s="24" t="s">
        <v>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25">
      <c r="A4" s="1"/>
      <c r="B4" s="1"/>
      <c r="C4" s="1"/>
      <c r="D4" s="1"/>
      <c r="E4" s="1"/>
      <c r="F4" s="1"/>
      <c r="G4" s="1"/>
      <c r="H4" s="10" t="s">
        <v>2</v>
      </c>
      <c r="I4" s="11"/>
      <c r="J4" s="3"/>
      <c r="K4" s="10" t="s">
        <v>3</v>
      </c>
      <c r="L4" s="11"/>
      <c r="M4" s="3"/>
      <c r="N4" s="10" t="s">
        <v>4</v>
      </c>
      <c r="O4" s="11"/>
      <c r="P4" s="3"/>
      <c r="Q4" s="10" t="s">
        <v>5</v>
      </c>
      <c r="R4" s="11"/>
      <c r="S4" s="3"/>
      <c r="T4" s="10" t="s">
        <v>6</v>
      </c>
      <c r="U4" s="11"/>
      <c r="V4" s="3"/>
      <c r="W4" s="10" t="s">
        <v>7</v>
      </c>
      <c r="X4" s="11"/>
      <c r="Y4" s="3"/>
      <c r="Z4" s="10" t="s">
        <v>8</v>
      </c>
      <c r="AA4" s="11"/>
      <c r="AB4" s="3"/>
      <c r="AC4" s="10" t="s">
        <v>9</v>
      </c>
      <c r="AD4" s="11"/>
      <c r="AE4" s="3"/>
      <c r="AF4" s="10" t="s">
        <v>10</v>
      </c>
      <c r="AG4" s="11"/>
      <c r="AH4" s="3"/>
      <c r="AI4" s="10" t="s">
        <v>11</v>
      </c>
      <c r="AJ4" s="11"/>
      <c r="AK4" s="3"/>
      <c r="AL4" s="10" t="s">
        <v>12</v>
      </c>
      <c r="AM4" s="11"/>
      <c r="AN4" s="3"/>
      <c r="AO4" s="10" t="s">
        <v>13</v>
      </c>
      <c r="AP4" s="11"/>
      <c r="AQ4" s="3"/>
      <c r="AR4" s="10" t="s">
        <v>14</v>
      </c>
      <c r="AS4" s="11"/>
      <c r="AT4" s="3"/>
      <c r="AU4" s="10" t="s">
        <v>15</v>
      </c>
      <c r="AV4" s="11"/>
      <c r="AW4" s="3"/>
      <c r="AX4" s="10" t="s">
        <v>16</v>
      </c>
      <c r="AY4" s="11"/>
      <c r="AZ4" s="3"/>
      <c r="BA4" s="10" t="s">
        <v>17</v>
      </c>
      <c r="BB4" s="11"/>
      <c r="BC4" s="3"/>
      <c r="BD4" s="10" t="s">
        <v>18</v>
      </c>
      <c r="BE4" s="11"/>
      <c r="BF4" s="3"/>
      <c r="BG4" s="10" t="s">
        <v>19</v>
      </c>
      <c r="BH4" s="11"/>
      <c r="BI4" s="3"/>
      <c r="BJ4" s="10" t="s">
        <v>20</v>
      </c>
      <c r="BK4" s="11"/>
      <c r="BL4" s="3"/>
      <c r="BM4" s="10" t="s">
        <v>21</v>
      </c>
      <c r="BN4" s="11"/>
      <c r="BO4" s="3"/>
      <c r="BP4" s="10" t="s">
        <v>22</v>
      </c>
      <c r="BQ4" s="11"/>
    </row>
    <row r="5" spans="1:69" ht="45" x14ac:dyDescent="0.25">
      <c r="A5" s="1"/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5" t="s">
        <v>29</v>
      </c>
      <c r="I5" s="5" t="s">
        <v>30</v>
      </c>
      <c r="J5" s="5"/>
      <c r="K5" s="5" t="s">
        <v>29</v>
      </c>
      <c r="L5" s="5" t="s">
        <v>30</v>
      </c>
      <c r="M5" s="5"/>
      <c r="N5" s="5" t="s">
        <v>29</v>
      </c>
      <c r="O5" s="5" t="s">
        <v>30</v>
      </c>
      <c r="P5" s="5"/>
      <c r="Q5" s="5" t="s">
        <v>29</v>
      </c>
      <c r="R5" s="5" t="s">
        <v>30</v>
      </c>
      <c r="S5" s="5"/>
      <c r="T5" s="5" t="s">
        <v>29</v>
      </c>
      <c r="U5" s="5" t="s">
        <v>30</v>
      </c>
      <c r="V5" s="5"/>
      <c r="W5" s="5" t="s">
        <v>29</v>
      </c>
      <c r="X5" s="5" t="s">
        <v>30</v>
      </c>
      <c r="Y5" s="5"/>
      <c r="Z5" s="5" t="s">
        <v>29</v>
      </c>
      <c r="AA5" s="5" t="s">
        <v>30</v>
      </c>
      <c r="AB5" s="5"/>
      <c r="AC5" s="5" t="s">
        <v>29</v>
      </c>
      <c r="AD5" s="5" t="s">
        <v>30</v>
      </c>
      <c r="AE5" s="5"/>
      <c r="AF5" s="5" t="s">
        <v>29</v>
      </c>
      <c r="AG5" s="5" t="s">
        <v>30</v>
      </c>
      <c r="AH5" s="5"/>
      <c r="AI5" s="5" t="s">
        <v>29</v>
      </c>
      <c r="AJ5" s="5" t="s">
        <v>30</v>
      </c>
      <c r="AK5" s="5"/>
      <c r="AL5" s="5" t="s">
        <v>29</v>
      </c>
      <c r="AM5" s="5" t="s">
        <v>30</v>
      </c>
      <c r="AN5" s="5"/>
      <c r="AO5" s="5" t="s">
        <v>29</v>
      </c>
      <c r="AP5" s="5" t="s">
        <v>30</v>
      </c>
      <c r="AQ5" s="5"/>
      <c r="AR5" s="5" t="s">
        <v>29</v>
      </c>
      <c r="AS5" s="5" t="s">
        <v>30</v>
      </c>
      <c r="AT5" s="5"/>
      <c r="AU5" s="5" t="s">
        <v>29</v>
      </c>
      <c r="AV5" s="5" t="s">
        <v>30</v>
      </c>
      <c r="AW5" s="5"/>
      <c r="AX5" s="5" t="s">
        <v>29</v>
      </c>
      <c r="AY5" s="5" t="s">
        <v>30</v>
      </c>
      <c r="AZ5" s="5"/>
      <c r="BA5" s="5" t="s">
        <v>29</v>
      </c>
      <c r="BB5" s="5" t="s">
        <v>30</v>
      </c>
      <c r="BC5" s="5"/>
      <c r="BD5" s="5" t="s">
        <v>29</v>
      </c>
      <c r="BE5" s="5" t="s">
        <v>30</v>
      </c>
      <c r="BF5" s="5"/>
      <c r="BG5" s="5" t="s">
        <v>29</v>
      </c>
      <c r="BH5" s="5" t="s">
        <v>30</v>
      </c>
      <c r="BI5" s="5"/>
      <c r="BJ5" s="5" t="s">
        <v>29</v>
      </c>
      <c r="BK5" s="5" t="s">
        <v>30</v>
      </c>
      <c r="BL5" s="5"/>
      <c r="BM5" s="5" t="s">
        <v>29</v>
      </c>
      <c r="BN5" s="5" t="s">
        <v>30</v>
      </c>
      <c r="BO5" s="5"/>
      <c r="BP5" s="5" t="s">
        <v>29</v>
      </c>
      <c r="BQ5" s="5" t="s">
        <v>30</v>
      </c>
    </row>
    <row r="6" spans="1:69" ht="45" x14ac:dyDescent="0.25">
      <c r="A6" s="1"/>
      <c r="B6" s="12" t="s">
        <v>35</v>
      </c>
      <c r="C6" s="14" t="s">
        <v>36</v>
      </c>
      <c r="D6" s="16" t="s">
        <v>37</v>
      </c>
      <c r="E6" s="21" t="s">
        <v>31</v>
      </c>
      <c r="F6" s="6" t="s">
        <v>32</v>
      </c>
      <c r="G6" s="6">
        <v>3</v>
      </c>
      <c r="H6" s="7">
        <v>0</v>
      </c>
      <c r="I6" s="7">
        <f t="shared" ref="I6:I11" si="0">G6-H6</f>
        <v>3</v>
      </c>
      <c r="J6" s="8"/>
      <c r="K6" s="7">
        <v>0</v>
      </c>
      <c r="L6" s="7">
        <f t="shared" ref="L6:L11" si="1">I6-K6</f>
        <v>3</v>
      </c>
      <c r="M6" s="8"/>
      <c r="N6" s="7">
        <v>0</v>
      </c>
      <c r="O6" s="7">
        <f t="shared" ref="O6:O11" si="2">L6-N6</f>
        <v>3</v>
      </c>
      <c r="P6" s="8"/>
      <c r="Q6" s="7">
        <v>0</v>
      </c>
      <c r="R6" s="7">
        <f t="shared" ref="R6:R11" si="3">O6-Q6</f>
        <v>3</v>
      </c>
      <c r="S6" s="8"/>
      <c r="T6" s="7"/>
      <c r="U6" s="7">
        <f t="shared" ref="U6:U11" si="4">R6-T6</f>
        <v>3</v>
      </c>
      <c r="V6" s="8"/>
      <c r="W6" s="7"/>
      <c r="X6" s="7">
        <f t="shared" ref="X6:X11" si="5">U6-W6</f>
        <v>3</v>
      </c>
      <c r="Y6" s="8"/>
      <c r="Z6" s="7"/>
      <c r="AA6" s="7">
        <f t="shared" ref="AA6:AA11" si="6">X6-Z6</f>
        <v>3</v>
      </c>
      <c r="AB6" s="8"/>
      <c r="AC6" s="7"/>
      <c r="AD6" s="7">
        <f t="shared" ref="AD6:AD11" si="7">AA6-AC6</f>
        <v>3</v>
      </c>
      <c r="AE6" s="8"/>
      <c r="AF6" s="7"/>
      <c r="AG6" s="7">
        <f t="shared" ref="AG6:AG11" si="8">AD6-AF6</f>
        <v>3</v>
      </c>
      <c r="AH6" s="8"/>
      <c r="AI6" s="7"/>
      <c r="AJ6" s="7">
        <f t="shared" ref="AJ6:AJ11" si="9">AG6-AI6</f>
        <v>3</v>
      </c>
      <c r="AK6" s="8"/>
      <c r="AL6" s="7"/>
      <c r="AM6" s="7">
        <f t="shared" ref="AM6:AM11" si="10">AJ6-AL6</f>
        <v>3</v>
      </c>
      <c r="AN6" s="8"/>
      <c r="AO6" s="7"/>
      <c r="AP6" s="7">
        <f t="shared" ref="AP6:AP11" si="11">AM6-AO6</f>
        <v>3</v>
      </c>
      <c r="AQ6" s="8"/>
      <c r="AR6" s="7"/>
      <c r="AS6" s="7">
        <f t="shared" ref="AS6:AS11" si="12">AP6-AR6</f>
        <v>3</v>
      </c>
      <c r="AT6" s="8"/>
      <c r="AU6" s="7"/>
      <c r="AV6" s="7">
        <f t="shared" ref="AV6:AV11" si="13">AS6-AU6</f>
        <v>3</v>
      </c>
      <c r="AW6" s="8"/>
      <c r="AX6" s="7"/>
      <c r="AY6" s="7">
        <f t="shared" ref="AY6:AY11" si="14">AV6-AX6</f>
        <v>3</v>
      </c>
      <c r="AZ6" s="8"/>
      <c r="BA6" s="7"/>
      <c r="BB6" s="7">
        <f t="shared" ref="BB6:BB11" si="15">AY6-BA6</f>
        <v>3</v>
      </c>
      <c r="BC6" s="8"/>
      <c r="BD6" s="7"/>
      <c r="BE6" s="7">
        <f t="shared" ref="BE6:BE11" si="16">BB6-BD6</f>
        <v>3</v>
      </c>
      <c r="BF6" s="8"/>
      <c r="BG6" s="7"/>
      <c r="BH6" s="7">
        <f t="shared" ref="BH6:BH11" si="17">BE6-BG6</f>
        <v>3</v>
      </c>
      <c r="BI6" s="8"/>
      <c r="BJ6" s="7"/>
      <c r="BK6" s="7">
        <f t="shared" ref="BK6:BK11" si="18">BH6-BJ6</f>
        <v>3</v>
      </c>
      <c r="BL6" s="8"/>
      <c r="BM6" s="7"/>
      <c r="BN6" s="7">
        <f t="shared" ref="BN6:BN11" si="19">BK6-BM6</f>
        <v>3</v>
      </c>
      <c r="BO6" s="8"/>
      <c r="BP6" s="9">
        <f t="shared" ref="BP6:BP11" si="20">H6+K6+N6+Q6+T6+W6+Z6+AC6+AF6+AI6+AL6+AO6+AR6+AU6+AX6+BA6+BD6+BG6+BJ6+BM6</f>
        <v>0</v>
      </c>
      <c r="BQ6" s="9">
        <f t="shared" ref="BQ6:BQ11" si="21">G6-BP6</f>
        <v>3</v>
      </c>
    </row>
    <row r="7" spans="1:69" ht="57.75" customHeight="1" x14ac:dyDescent="0.25">
      <c r="A7" s="1"/>
      <c r="B7" s="17"/>
      <c r="C7" s="18"/>
      <c r="D7" s="16" t="s">
        <v>38</v>
      </c>
      <c r="E7" s="21" t="s">
        <v>34</v>
      </c>
      <c r="F7" s="21" t="s">
        <v>33</v>
      </c>
      <c r="G7" s="6">
        <v>3</v>
      </c>
      <c r="H7" s="7"/>
      <c r="I7" s="7"/>
      <c r="J7" s="8"/>
      <c r="K7" s="7"/>
      <c r="L7" s="7"/>
      <c r="M7" s="8"/>
      <c r="N7" s="7"/>
      <c r="O7" s="7"/>
      <c r="P7" s="8"/>
      <c r="Q7" s="7"/>
      <c r="R7" s="7"/>
      <c r="S7" s="8"/>
      <c r="T7" s="7"/>
      <c r="U7" s="7"/>
      <c r="V7" s="8"/>
      <c r="W7" s="7"/>
      <c r="X7" s="7"/>
      <c r="Y7" s="8"/>
      <c r="Z7" s="7"/>
      <c r="AA7" s="7"/>
      <c r="AB7" s="8"/>
      <c r="AC7" s="7"/>
      <c r="AD7" s="7"/>
      <c r="AE7" s="8"/>
      <c r="AF7" s="7"/>
      <c r="AG7" s="7"/>
      <c r="AH7" s="8"/>
      <c r="AI7" s="7"/>
      <c r="AJ7" s="7"/>
      <c r="AK7" s="8"/>
      <c r="AL7" s="7"/>
      <c r="AM7" s="7"/>
      <c r="AN7" s="8"/>
      <c r="AO7" s="7"/>
      <c r="AP7" s="7"/>
      <c r="AQ7" s="8"/>
      <c r="AR7" s="7"/>
      <c r="AS7" s="7"/>
      <c r="AT7" s="8"/>
      <c r="AU7" s="7"/>
      <c r="AV7" s="7"/>
      <c r="AW7" s="8"/>
      <c r="AX7" s="7"/>
      <c r="AY7" s="7"/>
      <c r="AZ7" s="8"/>
      <c r="BA7" s="7"/>
      <c r="BB7" s="7"/>
      <c r="BC7" s="8"/>
      <c r="BD7" s="7"/>
      <c r="BE7" s="7"/>
      <c r="BF7" s="8"/>
      <c r="BG7" s="7"/>
      <c r="BH7" s="7"/>
      <c r="BI7" s="8"/>
      <c r="BJ7" s="7"/>
      <c r="BK7" s="7"/>
      <c r="BL7" s="8"/>
      <c r="BM7" s="7"/>
      <c r="BN7" s="7"/>
      <c r="BO7" s="8"/>
      <c r="BP7" s="9"/>
      <c r="BQ7" s="9"/>
    </row>
    <row r="8" spans="1:69" ht="72" customHeight="1" x14ac:dyDescent="0.25">
      <c r="A8" s="1"/>
      <c r="B8" s="20"/>
      <c r="C8" s="19"/>
      <c r="D8" s="16" t="s">
        <v>39</v>
      </c>
      <c r="E8" s="6" t="s">
        <v>31</v>
      </c>
      <c r="F8" s="6" t="s">
        <v>33</v>
      </c>
      <c r="G8" s="6">
        <v>2</v>
      </c>
      <c r="H8" s="7">
        <v>0</v>
      </c>
      <c r="I8" s="7">
        <f t="shared" si="0"/>
        <v>2</v>
      </c>
      <c r="J8" s="8"/>
      <c r="K8" s="7">
        <v>0</v>
      </c>
      <c r="L8" s="7">
        <f t="shared" si="1"/>
        <v>2</v>
      </c>
      <c r="M8" s="8"/>
      <c r="N8" s="7">
        <v>0</v>
      </c>
      <c r="O8" s="7">
        <f t="shared" si="2"/>
        <v>2</v>
      </c>
      <c r="P8" s="8"/>
      <c r="Q8" s="7"/>
      <c r="R8" s="7">
        <f t="shared" si="3"/>
        <v>2</v>
      </c>
      <c r="S8" s="8"/>
      <c r="T8" s="7"/>
      <c r="U8" s="7">
        <f t="shared" si="4"/>
        <v>2</v>
      </c>
      <c r="V8" s="8"/>
      <c r="W8" s="7"/>
      <c r="X8" s="7">
        <f t="shared" si="5"/>
        <v>2</v>
      </c>
      <c r="Y8" s="8"/>
      <c r="Z8" s="7"/>
      <c r="AA8" s="7">
        <f t="shared" si="6"/>
        <v>2</v>
      </c>
      <c r="AB8" s="8"/>
      <c r="AC8" s="7"/>
      <c r="AD8" s="7">
        <f t="shared" si="7"/>
        <v>2</v>
      </c>
      <c r="AE8" s="8"/>
      <c r="AF8" s="7"/>
      <c r="AG8" s="7">
        <f t="shared" si="8"/>
        <v>2</v>
      </c>
      <c r="AH8" s="8"/>
      <c r="AI8" s="7"/>
      <c r="AJ8" s="7">
        <f t="shared" si="9"/>
        <v>2</v>
      </c>
      <c r="AK8" s="8"/>
      <c r="AL8" s="7"/>
      <c r="AM8" s="7">
        <f t="shared" si="10"/>
        <v>2</v>
      </c>
      <c r="AN8" s="8"/>
      <c r="AO8" s="7"/>
      <c r="AP8" s="7">
        <f t="shared" si="11"/>
        <v>2</v>
      </c>
      <c r="AQ8" s="8"/>
      <c r="AR8" s="7"/>
      <c r="AS8" s="7">
        <f t="shared" si="12"/>
        <v>2</v>
      </c>
      <c r="AT8" s="8"/>
      <c r="AU8" s="7"/>
      <c r="AV8" s="7">
        <f t="shared" si="13"/>
        <v>2</v>
      </c>
      <c r="AW8" s="8"/>
      <c r="AX8" s="7"/>
      <c r="AY8" s="7">
        <f t="shared" si="14"/>
        <v>2</v>
      </c>
      <c r="AZ8" s="8"/>
      <c r="BA8" s="7"/>
      <c r="BB8" s="7">
        <f t="shared" si="15"/>
        <v>2</v>
      </c>
      <c r="BC8" s="8"/>
      <c r="BD8" s="7"/>
      <c r="BE8" s="7">
        <f t="shared" si="16"/>
        <v>2</v>
      </c>
      <c r="BF8" s="8"/>
      <c r="BG8" s="7"/>
      <c r="BH8" s="7">
        <f t="shared" si="17"/>
        <v>2</v>
      </c>
      <c r="BI8" s="8"/>
      <c r="BJ8" s="7"/>
      <c r="BK8" s="7">
        <f t="shared" si="18"/>
        <v>2</v>
      </c>
      <c r="BL8" s="8"/>
      <c r="BM8" s="7"/>
      <c r="BN8" s="7">
        <f t="shared" si="19"/>
        <v>2</v>
      </c>
      <c r="BO8" s="8"/>
      <c r="BP8" s="9">
        <f t="shared" si="20"/>
        <v>0</v>
      </c>
      <c r="BQ8" s="9">
        <f t="shared" si="21"/>
        <v>2</v>
      </c>
    </row>
    <row r="9" spans="1:69" ht="45" x14ac:dyDescent="0.25">
      <c r="A9" s="1"/>
      <c r="B9" s="23" t="s">
        <v>40</v>
      </c>
      <c r="C9" s="22" t="s">
        <v>41</v>
      </c>
      <c r="D9" s="16" t="s">
        <v>42</v>
      </c>
      <c r="E9" s="21" t="s">
        <v>31</v>
      </c>
      <c r="F9" s="21" t="s">
        <v>33</v>
      </c>
      <c r="G9" s="6">
        <v>3</v>
      </c>
      <c r="H9" s="7"/>
      <c r="I9" s="7">
        <f t="shared" si="0"/>
        <v>3</v>
      </c>
      <c r="J9" s="8"/>
      <c r="K9" s="7"/>
      <c r="L9" s="7">
        <f t="shared" si="1"/>
        <v>3</v>
      </c>
      <c r="M9" s="8"/>
      <c r="N9" s="7">
        <v>0</v>
      </c>
      <c r="O9" s="7">
        <f t="shared" si="2"/>
        <v>3</v>
      </c>
      <c r="P9" s="8"/>
      <c r="Q9" s="7">
        <v>0</v>
      </c>
      <c r="R9" s="7">
        <f t="shared" si="3"/>
        <v>3</v>
      </c>
      <c r="S9" s="8"/>
      <c r="T9" s="7">
        <v>0</v>
      </c>
      <c r="U9" s="7">
        <f t="shared" si="4"/>
        <v>3</v>
      </c>
      <c r="V9" s="8"/>
      <c r="W9" s="7"/>
      <c r="X9" s="7">
        <f t="shared" si="5"/>
        <v>3</v>
      </c>
      <c r="Y9" s="8"/>
      <c r="Z9" s="7"/>
      <c r="AA9" s="7">
        <f t="shared" si="6"/>
        <v>3</v>
      </c>
      <c r="AB9" s="8"/>
      <c r="AC9" s="7"/>
      <c r="AD9" s="7">
        <f t="shared" si="7"/>
        <v>3</v>
      </c>
      <c r="AE9" s="8"/>
      <c r="AF9" s="7"/>
      <c r="AG9" s="7">
        <f t="shared" si="8"/>
        <v>3</v>
      </c>
      <c r="AH9" s="8"/>
      <c r="AI9" s="7"/>
      <c r="AJ9" s="7">
        <f t="shared" si="9"/>
        <v>3</v>
      </c>
      <c r="AK9" s="8"/>
      <c r="AL9" s="7"/>
      <c r="AM9" s="7">
        <f t="shared" si="10"/>
        <v>3</v>
      </c>
      <c r="AN9" s="8"/>
      <c r="AO9" s="7"/>
      <c r="AP9" s="7">
        <f t="shared" si="11"/>
        <v>3</v>
      </c>
      <c r="AQ9" s="8"/>
      <c r="AR9" s="7"/>
      <c r="AS9" s="7">
        <f t="shared" si="12"/>
        <v>3</v>
      </c>
      <c r="AT9" s="8"/>
      <c r="AU9" s="7"/>
      <c r="AV9" s="7">
        <f t="shared" si="13"/>
        <v>3</v>
      </c>
      <c r="AW9" s="8"/>
      <c r="AX9" s="7"/>
      <c r="AY9" s="7">
        <f t="shared" si="14"/>
        <v>3</v>
      </c>
      <c r="AZ9" s="8"/>
      <c r="BA9" s="7"/>
      <c r="BB9" s="7">
        <f t="shared" si="15"/>
        <v>3</v>
      </c>
      <c r="BC9" s="8"/>
      <c r="BD9" s="7"/>
      <c r="BE9" s="7">
        <f t="shared" si="16"/>
        <v>3</v>
      </c>
      <c r="BF9" s="8"/>
      <c r="BG9" s="7"/>
      <c r="BH9" s="7">
        <f t="shared" si="17"/>
        <v>3</v>
      </c>
      <c r="BI9" s="8"/>
      <c r="BJ9" s="7"/>
      <c r="BK9" s="7">
        <f t="shared" si="18"/>
        <v>3</v>
      </c>
      <c r="BL9" s="8"/>
      <c r="BM9" s="7"/>
      <c r="BN9" s="7">
        <f t="shared" si="19"/>
        <v>3</v>
      </c>
      <c r="BO9" s="8"/>
      <c r="BP9" s="9">
        <f t="shared" si="20"/>
        <v>0</v>
      </c>
      <c r="BQ9" s="9">
        <f t="shared" si="21"/>
        <v>3</v>
      </c>
    </row>
    <row r="10" spans="1:69" ht="45" x14ac:dyDescent="0.25">
      <c r="A10" s="1"/>
      <c r="B10" s="15"/>
      <c r="C10" s="15"/>
      <c r="D10" s="16" t="s">
        <v>43</v>
      </c>
      <c r="E10" s="6" t="s">
        <v>34</v>
      </c>
      <c r="F10" s="6" t="s">
        <v>33</v>
      </c>
      <c r="G10" s="6">
        <v>2</v>
      </c>
      <c r="H10" s="7"/>
      <c r="I10" s="7">
        <f t="shared" si="0"/>
        <v>2</v>
      </c>
      <c r="J10" s="8"/>
      <c r="K10" s="7"/>
      <c r="L10" s="7">
        <f t="shared" si="1"/>
        <v>2</v>
      </c>
      <c r="M10" s="8"/>
      <c r="N10" s="7">
        <v>0</v>
      </c>
      <c r="O10" s="7">
        <f t="shared" si="2"/>
        <v>2</v>
      </c>
      <c r="P10" s="8"/>
      <c r="Q10" s="7">
        <v>0</v>
      </c>
      <c r="R10" s="7">
        <f t="shared" si="3"/>
        <v>2</v>
      </c>
      <c r="S10" s="8"/>
      <c r="T10" s="7">
        <v>0</v>
      </c>
      <c r="U10" s="7">
        <f t="shared" si="4"/>
        <v>2</v>
      </c>
      <c r="V10" s="8"/>
      <c r="W10" s="7"/>
      <c r="X10" s="7">
        <f t="shared" si="5"/>
        <v>2</v>
      </c>
      <c r="Y10" s="8"/>
      <c r="Z10" s="7"/>
      <c r="AA10" s="7">
        <f t="shared" si="6"/>
        <v>2</v>
      </c>
      <c r="AB10" s="8"/>
      <c r="AC10" s="7"/>
      <c r="AD10" s="7">
        <f t="shared" si="7"/>
        <v>2</v>
      </c>
      <c r="AE10" s="8"/>
      <c r="AF10" s="7"/>
      <c r="AG10" s="7">
        <f t="shared" si="8"/>
        <v>2</v>
      </c>
      <c r="AH10" s="8"/>
      <c r="AI10" s="7"/>
      <c r="AJ10" s="7">
        <f t="shared" si="9"/>
        <v>2</v>
      </c>
      <c r="AK10" s="8"/>
      <c r="AL10" s="7"/>
      <c r="AM10" s="7">
        <f t="shared" si="10"/>
        <v>2</v>
      </c>
      <c r="AN10" s="8"/>
      <c r="AO10" s="7"/>
      <c r="AP10" s="7">
        <f t="shared" si="11"/>
        <v>2</v>
      </c>
      <c r="AQ10" s="8"/>
      <c r="AR10" s="7"/>
      <c r="AS10" s="7">
        <f t="shared" si="12"/>
        <v>2</v>
      </c>
      <c r="AT10" s="8"/>
      <c r="AU10" s="7"/>
      <c r="AV10" s="7">
        <f t="shared" si="13"/>
        <v>2</v>
      </c>
      <c r="AW10" s="8"/>
      <c r="AX10" s="7"/>
      <c r="AY10" s="7">
        <f t="shared" si="14"/>
        <v>2</v>
      </c>
      <c r="AZ10" s="8"/>
      <c r="BA10" s="7"/>
      <c r="BB10" s="7">
        <f t="shared" si="15"/>
        <v>2</v>
      </c>
      <c r="BC10" s="8"/>
      <c r="BD10" s="7"/>
      <c r="BE10" s="7">
        <f t="shared" si="16"/>
        <v>2</v>
      </c>
      <c r="BF10" s="8"/>
      <c r="BG10" s="7"/>
      <c r="BH10" s="7">
        <f t="shared" si="17"/>
        <v>2</v>
      </c>
      <c r="BI10" s="8"/>
      <c r="BJ10" s="7"/>
      <c r="BK10" s="7">
        <f t="shared" si="18"/>
        <v>2</v>
      </c>
      <c r="BL10" s="8"/>
      <c r="BM10" s="7"/>
      <c r="BN10" s="7">
        <f t="shared" si="19"/>
        <v>2</v>
      </c>
      <c r="BO10" s="8"/>
      <c r="BP10" s="9">
        <f t="shared" si="20"/>
        <v>0</v>
      </c>
      <c r="BQ10" s="9">
        <f t="shared" si="21"/>
        <v>2</v>
      </c>
    </row>
    <row r="11" spans="1:69" ht="30" x14ac:dyDescent="0.25">
      <c r="A11" s="1"/>
      <c r="B11" s="13"/>
      <c r="C11" s="13"/>
      <c r="D11" s="16" t="s">
        <v>44</v>
      </c>
      <c r="E11" s="21" t="s">
        <v>45</v>
      </c>
      <c r="F11" s="6" t="s">
        <v>32</v>
      </c>
      <c r="G11" s="6">
        <v>1</v>
      </c>
      <c r="H11" s="7"/>
      <c r="I11" s="7">
        <f t="shared" si="0"/>
        <v>1</v>
      </c>
      <c r="J11" s="8"/>
      <c r="K11" s="7"/>
      <c r="L11" s="7">
        <f t="shared" si="1"/>
        <v>1</v>
      </c>
      <c r="M11" s="8"/>
      <c r="N11" s="7"/>
      <c r="O11" s="7">
        <f t="shared" si="2"/>
        <v>1</v>
      </c>
      <c r="P11" s="8"/>
      <c r="Q11" s="7">
        <v>0</v>
      </c>
      <c r="R11" s="7">
        <f t="shared" si="3"/>
        <v>1</v>
      </c>
      <c r="S11" s="8"/>
      <c r="T11" s="7">
        <v>0</v>
      </c>
      <c r="U11" s="7">
        <f t="shared" si="4"/>
        <v>1</v>
      </c>
      <c r="V11" s="8"/>
      <c r="W11" s="7">
        <v>0</v>
      </c>
      <c r="X11" s="7">
        <f t="shared" si="5"/>
        <v>1</v>
      </c>
      <c r="Y11" s="8"/>
      <c r="Z11" s="7">
        <v>0</v>
      </c>
      <c r="AA11" s="7">
        <f t="shared" si="6"/>
        <v>1</v>
      </c>
      <c r="AB11" s="8"/>
      <c r="AC11" s="7"/>
      <c r="AD11" s="7">
        <f t="shared" si="7"/>
        <v>1</v>
      </c>
      <c r="AE11" s="8"/>
      <c r="AF11" s="7"/>
      <c r="AG11" s="7">
        <f t="shared" si="8"/>
        <v>1</v>
      </c>
      <c r="AH11" s="8"/>
      <c r="AI11" s="7"/>
      <c r="AJ11" s="7">
        <f t="shared" si="9"/>
        <v>1</v>
      </c>
      <c r="AK11" s="8"/>
      <c r="AL11" s="7"/>
      <c r="AM11" s="7">
        <f t="shared" si="10"/>
        <v>1</v>
      </c>
      <c r="AN11" s="8"/>
      <c r="AO11" s="7"/>
      <c r="AP11" s="7">
        <f t="shared" si="11"/>
        <v>1</v>
      </c>
      <c r="AQ11" s="8"/>
      <c r="AR11" s="7"/>
      <c r="AS11" s="7">
        <f t="shared" si="12"/>
        <v>1</v>
      </c>
      <c r="AT11" s="8"/>
      <c r="AU11" s="7"/>
      <c r="AV11" s="7">
        <f t="shared" si="13"/>
        <v>1</v>
      </c>
      <c r="AW11" s="8"/>
      <c r="AX11" s="7"/>
      <c r="AY11" s="7">
        <f t="shared" si="14"/>
        <v>1</v>
      </c>
      <c r="AZ11" s="8"/>
      <c r="BA11" s="7"/>
      <c r="BB11" s="7">
        <f t="shared" si="15"/>
        <v>1</v>
      </c>
      <c r="BC11" s="8"/>
      <c r="BD11" s="7"/>
      <c r="BE11" s="7">
        <f t="shared" si="16"/>
        <v>1</v>
      </c>
      <c r="BF11" s="8"/>
      <c r="BG11" s="7"/>
      <c r="BH11" s="7">
        <f t="shared" si="17"/>
        <v>1</v>
      </c>
      <c r="BI11" s="8"/>
      <c r="BJ11" s="7"/>
      <c r="BK11" s="7">
        <f t="shared" si="18"/>
        <v>1</v>
      </c>
      <c r="BL11" s="8"/>
      <c r="BM11" s="7"/>
      <c r="BN11" s="7">
        <f t="shared" si="19"/>
        <v>1</v>
      </c>
      <c r="BO11" s="8"/>
      <c r="BP11" s="9">
        <f t="shared" si="20"/>
        <v>0</v>
      </c>
      <c r="BQ11" s="9">
        <f t="shared" si="21"/>
        <v>1</v>
      </c>
    </row>
    <row r="12" spans="1:6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:6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:6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</sheetData>
  <mergeCells count="25">
    <mergeCell ref="W4:X4"/>
    <mergeCell ref="Z4:AA4"/>
    <mergeCell ref="H4:I4"/>
    <mergeCell ref="K4:L4"/>
    <mergeCell ref="N4:O4"/>
    <mergeCell ref="Q4:R4"/>
    <mergeCell ref="T4:U4"/>
    <mergeCell ref="B6:B8"/>
    <mergeCell ref="C6:C8"/>
    <mergeCell ref="B9:B11"/>
    <mergeCell ref="C9:C11"/>
    <mergeCell ref="BM4:BN4"/>
    <mergeCell ref="BP4:BQ4"/>
    <mergeCell ref="AC4:AD4"/>
    <mergeCell ref="AF4:AG4"/>
    <mergeCell ref="AI4:AJ4"/>
    <mergeCell ref="AL4:AM4"/>
    <mergeCell ref="AO4:AP4"/>
    <mergeCell ref="AR4:AS4"/>
    <mergeCell ref="AU4:AV4"/>
    <mergeCell ref="AX4:AY4"/>
    <mergeCell ref="BA4:BB4"/>
    <mergeCell ref="BD4:BE4"/>
    <mergeCell ref="BG4:BH4"/>
    <mergeCell ref="BJ4:BK4"/>
  </mergeCells>
  <pageMargins left="0.62992125984251968" right="0.62992125984251968" top="0.74803149606299213" bottom="0.74803149606299213" header="0" footer="0"/>
  <pageSetup orientation="landscape"/>
  <colBreaks count="4" manualBreakCount="4">
    <brk id="52" man="1"/>
    <brk id="36" man="1"/>
    <brk id="69" man="1"/>
    <brk id="2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Sergio Carlos xiu fu Plaza Espinosa</cp:lastModifiedBy>
  <dcterms:created xsi:type="dcterms:W3CDTF">2012-09-02T03:53:17Z</dcterms:created>
  <dcterms:modified xsi:type="dcterms:W3CDTF">2025-11-19T01:25:11Z</dcterms:modified>
</cp:coreProperties>
</file>